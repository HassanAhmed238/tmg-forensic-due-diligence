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assan\Downloads\Risk\"/>
    </mc:Choice>
  </mc:AlternateContent>
  <xr:revisionPtr revIDLastSave="0" documentId="13_ncr:1_{0E666DE7-7B9D-4EC8-94B2-1D316E16F59B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Financial statement" sheetId="2" r:id="rId1"/>
    <sheet name="Source &amp; uses analysis " sheetId="3" r:id="rId2"/>
    <sheet name="Common size analysis" sheetId="4" r:id="rId3"/>
    <sheet name="Ratios" sheetId="5" r:id="rId4"/>
  </sheets>
  <definedNames>
    <definedName name="_xlnm.Print_Area" localSheetId="1">'Source &amp; uses analysis '!$A$1:$H$134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9" i="4" l="1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48" i="4"/>
  <c r="I49" i="4"/>
  <c r="I50" i="4"/>
  <c r="I51" i="4"/>
  <c r="I52" i="4"/>
  <c r="I53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3" i="4"/>
  <c r="G64" i="4"/>
  <c r="G65" i="4"/>
  <c r="G66" i="4"/>
  <c r="G67" i="4"/>
  <c r="G68" i="4"/>
  <c r="G69" i="4"/>
  <c r="G70" i="4"/>
  <c r="G71" i="4"/>
  <c r="G72" i="4"/>
  <c r="G73" i="4"/>
  <c r="G75" i="4"/>
  <c r="G76" i="4"/>
  <c r="G77" i="4"/>
  <c r="G78" i="4"/>
  <c r="G79" i="4"/>
  <c r="G80" i="4"/>
  <c r="G81" i="4"/>
  <c r="G82" i="4"/>
  <c r="G83" i="4"/>
  <c r="G48" i="4"/>
  <c r="M5" i="4"/>
  <c r="M6" i="4"/>
  <c r="M8" i="4"/>
  <c r="M9" i="4"/>
  <c r="M10" i="4"/>
  <c r="M11" i="4"/>
  <c r="M12" i="4"/>
  <c r="M13" i="4"/>
  <c r="M14" i="4"/>
  <c r="M15" i="4"/>
  <c r="M16" i="4"/>
  <c r="M17" i="4"/>
  <c r="M4" i="4"/>
  <c r="K5" i="4"/>
  <c r="K6" i="4"/>
  <c r="K8" i="4"/>
  <c r="K9" i="4"/>
  <c r="K10" i="4"/>
  <c r="K11" i="4"/>
  <c r="K12" i="4"/>
  <c r="K13" i="4"/>
  <c r="K14" i="4"/>
  <c r="K15" i="4"/>
  <c r="K16" i="4"/>
  <c r="K17" i="4"/>
  <c r="K4" i="4"/>
  <c r="I5" i="4"/>
  <c r="I6" i="4"/>
  <c r="I8" i="4"/>
  <c r="I9" i="4"/>
  <c r="I10" i="4"/>
  <c r="I11" i="4"/>
  <c r="I12" i="4"/>
  <c r="I13" i="4"/>
  <c r="I14" i="4"/>
  <c r="I15" i="4"/>
  <c r="I16" i="4"/>
  <c r="I17" i="4"/>
  <c r="I4" i="4"/>
  <c r="G5" i="4"/>
  <c r="G6" i="4"/>
  <c r="G8" i="4"/>
  <c r="G9" i="4"/>
  <c r="G10" i="4"/>
  <c r="G11" i="4"/>
  <c r="G12" i="4"/>
  <c r="G13" i="4"/>
  <c r="G14" i="4"/>
  <c r="G15" i="4"/>
  <c r="G16" i="4"/>
  <c r="G17" i="4"/>
  <c r="G4" i="4"/>
  <c r="E62" i="3" l="1"/>
  <c r="E76" i="3"/>
  <c r="D76" i="3" l="1"/>
  <c r="E66" i="3" s="1"/>
  <c r="D62" i="3"/>
  <c r="E48" i="3" s="1"/>
  <c r="E65" i="3" l="1"/>
  <c r="E73" i="3"/>
  <c r="E72" i="3"/>
  <c r="E71" i="3"/>
  <c r="E70" i="3"/>
  <c r="E69" i="3"/>
  <c r="E68" i="3"/>
  <c r="E75" i="3"/>
  <c r="E67" i="3"/>
  <c r="E74" i="3"/>
  <c r="E45" i="3"/>
  <c r="E61" i="3"/>
  <c r="E55" i="3"/>
  <c r="E53" i="3"/>
  <c r="E47" i="3"/>
  <c r="E46" i="3"/>
  <c r="E60" i="3"/>
  <c r="E54" i="3"/>
  <c r="E52" i="3"/>
  <c r="E59" i="3"/>
  <c r="E51" i="3"/>
  <c r="E58" i="3"/>
  <c r="E50" i="3"/>
  <c r="E57" i="3"/>
  <c r="E49" i="3"/>
  <c r="E5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Tarek</author>
  </authors>
  <commentList>
    <comment ref="D7" authorId="0" shapeId="0" xr:uid="{F76CE0D5-7453-4EE0-8F2F-A6DF842E140D}">
      <text>
        <r>
          <rPr>
            <b/>
            <sz val="9"/>
            <color indexed="81"/>
            <rFont val="Tahoma"/>
            <family val="2"/>
          </rPr>
          <t>Days</t>
        </r>
      </text>
    </comment>
    <comment ref="E7" authorId="0" shapeId="0" xr:uid="{4CE14626-D755-48B0-9DBF-7D09E998E455}">
      <text>
        <r>
          <rPr>
            <b/>
            <sz val="9"/>
            <color indexed="81"/>
            <rFont val="Tahoma"/>
            <family val="2"/>
          </rPr>
          <t>Days</t>
        </r>
      </text>
    </comment>
    <comment ref="F7" authorId="0" shapeId="0" xr:uid="{1E1370CF-6525-46E4-AB78-A062F5127427}">
      <text>
        <r>
          <rPr>
            <b/>
            <sz val="9"/>
            <color indexed="81"/>
            <rFont val="Tahoma"/>
            <family val="2"/>
          </rPr>
          <t>Days</t>
        </r>
      </text>
    </comment>
    <comment ref="G7" authorId="0" shapeId="0" xr:uid="{CBBA7179-D302-4A9F-8D3C-870A2062D3B4}">
      <text>
        <r>
          <rPr>
            <b/>
            <sz val="9"/>
            <color indexed="81"/>
            <rFont val="Tahoma"/>
            <family val="2"/>
          </rPr>
          <t>Days</t>
        </r>
      </text>
    </comment>
  </commentList>
</comments>
</file>

<file path=xl/sharedStrings.xml><?xml version="1.0" encoding="utf-8"?>
<sst xmlns="http://schemas.openxmlformats.org/spreadsheetml/2006/main" count="331" uniqueCount="134">
  <si>
    <t>Egypt Aluminum Company</t>
  </si>
  <si>
    <t xml:space="preserve">for the year ended </t>
  </si>
  <si>
    <t>-</t>
  </si>
  <si>
    <t>At December 31, 2024</t>
  </si>
  <si>
    <t>At December 31, 2023</t>
  </si>
  <si>
    <t>At December 31, 2022</t>
  </si>
  <si>
    <t>At December 31, 2021</t>
  </si>
  <si>
    <t>Assets</t>
  </si>
  <si>
    <t>Financial Ratios</t>
  </si>
  <si>
    <t>Ratios</t>
  </si>
  <si>
    <t>Time series</t>
  </si>
  <si>
    <t>Liquidity Ratios</t>
  </si>
  <si>
    <t>Current Ratio</t>
  </si>
  <si>
    <t>Current assets/current liabilities</t>
  </si>
  <si>
    <t>Quick Ratio</t>
  </si>
  <si>
    <t>(Current assets-inventory)/current liabilities</t>
  </si>
  <si>
    <t>Activity Ratios</t>
  </si>
  <si>
    <t>Inventory Turnover</t>
  </si>
  <si>
    <t>Cost of goods sold/Average inventory</t>
  </si>
  <si>
    <t>Average age of inventory</t>
  </si>
  <si>
    <t>360/Inventory Turnover</t>
  </si>
  <si>
    <t>Average collection period</t>
  </si>
  <si>
    <t>N/R/(Net sales/360)</t>
  </si>
  <si>
    <t>Average payment period</t>
  </si>
  <si>
    <t>N/P/(Annual purchase/360)</t>
  </si>
  <si>
    <t>Total assets turnover</t>
  </si>
  <si>
    <t>Net sales /Total assets</t>
  </si>
  <si>
    <t>Debt Ratios</t>
  </si>
  <si>
    <t>Debt ratio</t>
  </si>
  <si>
    <t>Total Liabilites /Total assets</t>
  </si>
  <si>
    <t>Time interest earned ratio</t>
  </si>
  <si>
    <t>EBIT/Interest expenses</t>
  </si>
  <si>
    <t>Profitability  Ratios</t>
  </si>
  <si>
    <t>Gross profit margin</t>
  </si>
  <si>
    <t>Gross profit/sales</t>
  </si>
  <si>
    <t>Operating profit margin</t>
  </si>
  <si>
    <t>Operating profit (EBIT)/Sales</t>
  </si>
  <si>
    <t>Net profit margin</t>
  </si>
  <si>
    <t>Earning after taxes (EAT)/sales</t>
  </si>
  <si>
    <t>Return on assets</t>
  </si>
  <si>
    <t>Earning avaliable for C.S/total assets</t>
  </si>
  <si>
    <t>Return on Equity</t>
  </si>
  <si>
    <t>Earning avaliable for C.S/C.S.H equity</t>
  </si>
  <si>
    <t>Source</t>
  </si>
  <si>
    <t>Uses</t>
  </si>
  <si>
    <t>Use</t>
  </si>
  <si>
    <t>.</t>
  </si>
  <si>
    <t>Provisions</t>
  </si>
  <si>
    <t>Non - controlling interests</t>
  </si>
  <si>
    <t>Cash and cash equivalents</t>
  </si>
  <si>
    <t>Loans and faciltites to customer</t>
  </si>
  <si>
    <t>Accounts receivables</t>
  </si>
  <si>
    <t>Investments at fair value through profit and loss</t>
  </si>
  <si>
    <t>Investments at amortized cost</t>
  </si>
  <si>
    <t>Assets held for sale</t>
  </si>
  <si>
    <t>Equity accounted investees</t>
  </si>
  <si>
    <t>Investment property</t>
  </si>
  <si>
    <t>Property, plant and equipment</t>
  </si>
  <si>
    <t>Goodwill and other intangible assets</t>
  </si>
  <si>
    <t>Deferred tax assets</t>
  </si>
  <si>
    <t>Other assets</t>
  </si>
  <si>
    <t>Total assets</t>
  </si>
  <si>
    <t>Liabilities</t>
  </si>
  <si>
    <t>Due to banks and financial institutions</t>
  </si>
  <si>
    <t>Customer Deposits</t>
  </si>
  <si>
    <t>Loans and borrowings</t>
  </si>
  <si>
    <t>Creditors and other credit balances</t>
  </si>
  <si>
    <t>Accounts payable - customers credit balance at fair value through profit and loss</t>
  </si>
  <si>
    <t>Accounts payable - customers credit balance</t>
  </si>
  <si>
    <t>Issued bonds</t>
  </si>
  <si>
    <t>Current tax liability</t>
  </si>
  <si>
    <t>Deferred tax liabilities</t>
  </si>
  <si>
    <t>Total liabilities</t>
  </si>
  <si>
    <t>Equity</t>
  </si>
  <si>
    <t>Share capital</t>
  </si>
  <si>
    <t>Legal reserve</t>
  </si>
  <si>
    <t>Share premium</t>
  </si>
  <si>
    <t>Other reserves</t>
  </si>
  <si>
    <t>Retained earnings</t>
  </si>
  <si>
    <t xml:space="preserve">Equity attributable to owners of the Company </t>
  </si>
  <si>
    <t>Total equity</t>
  </si>
  <si>
    <t>Total equity and liabilities</t>
  </si>
  <si>
    <t>Sources</t>
  </si>
  <si>
    <t>Value</t>
  </si>
  <si>
    <t>%</t>
  </si>
  <si>
    <t>Short term</t>
  </si>
  <si>
    <t>Long term</t>
  </si>
  <si>
    <t>TOTAL</t>
  </si>
  <si>
    <t>Analysis</t>
  </si>
  <si>
    <t>the company effectively matches its short-term funding to short-term needs and its long-term funding to long-term</t>
  </si>
  <si>
    <t xml:space="preserve"> investments, which is a sound financial practice. However, there's a heavy reliance on short-term sources, </t>
  </si>
  <si>
    <t>which could expose the company to future risks related to interest rates and liquidity.</t>
  </si>
  <si>
    <t>Sales revenue</t>
  </si>
  <si>
    <t>Less: cost of goods sold</t>
  </si>
  <si>
    <t>Gross profit</t>
  </si>
  <si>
    <t>Less: operating expenses</t>
  </si>
  <si>
    <t>Selling expense</t>
  </si>
  <si>
    <t>General and administrative expenses</t>
  </si>
  <si>
    <t>Depreciation expense</t>
  </si>
  <si>
    <t>Total operating expense</t>
  </si>
  <si>
    <t>Operating profits(EPIT)</t>
  </si>
  <si>
    <t>Less:interest expense</t>
  </si>
  <si>
    <t>Net profits before taxes</t>
  </si>
  <si>
    <t>Less: Taxes</t>
  </si>
  <si>
    <t>Net profits after taxes</t>
  </si>
  <si>
    <t>Earning available for common stockholders</t>
  </si>
  <si>
    <t>Income Statement (in thousands)</t>
  </si>
  <si>
    <t>Balance Sheets  (in thousands)</t>
  </si>
  <si>
    <t xml:space="preserve"> Balance Sheets  (in thousands)</t>
  </si>
  <si>
    <t>ANA24</t>
  </si>
  <si>
    <t>ANA23</t>
  </si>
  <si>
    <t>ANA22</t>
  </si>
  <si>
    <t>ANA21</t>
  </si>
  <si>
    <t>•</t>
  </si>
  <si>
    <t>Sales Revenue is always 100%, as it serves as the base for vertical analysis.</t>
  </si>
  <si>
    <t>Cost of Goods Sold (COGS) ranged between 61% and 67% of sales, indicating a relatively stable cost structure.</t>
  </si>
  <si>
    <t>Gross Profit declined from 37% in 2021 to 33% in 2024, suggesting reduced efficiency or increased production costs.</t>
  </si>
  <si>
    <t>Net Profit After Taxes decreased from 15% in 2021 to 9% in 2024, reflecting a drop in overall profitability.</t>
  </si>
  <si>
    <t>Liquidity Position: Strong and consistent (high cash reserves).</t>
  </si>
  <si>
    <t>Capital Structure: Balanced but slightly debt-leaning.</t>
  </si>
  <si>
    <t>Profit Retention: Retained earnings are growing, signaling internal financing and sustainable operations.</t>
  </si>
  <si>
    <t>Stability: Overall structure is stable across the four years, with no drastic changes in asset or liability proportions.</t>
  </si>
  <si>
    <t>Improving</t>
  </si>
  <si>
    <t>Deteriorating</t>
  </si>
  <si>
    <t>Decreased</t>
  </si>
  <si>
    <t>Inventory</t>
  </si>
  <si>
    <t>obligations with a very small margin.</t>
  </si>
  <si>
    <t xml:space="preserve">Short term sources(72.360%) less than short term uses(74.434%) that’s mean financial resources are unable to cover </t>
  </si>
  <si>
    <t>Stable</t>
  </si>
  <si>
    <t>Category</t>
  </si>
  <si>
    <t>1. Liquidity has improved over the four-year period, with both the current and quick ratios showing a stable or upward trend, indicating better short-term debt coverage.</t>
  </si>
  <si>
    <t>2. Activity ratios present a mixed picture. Inventory management has become more efficient, but the average collection period has increased, suggesting slower collection of receivables.</t>
  </si>
  <si>
    <t>3. Debt management has improved, as indicated by a decreasing debt ratio, while the time interest earned ratio has deteriorated, raising concerns about the company's ability to cover its interest expenses.</t>
  </si>
  <si>
    <t>4. Profitability has declined across the board, with gross, operating, and net profit margins decreasing significantly, indicating a drop in overall profitability and efficiency.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</si>
</sst>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(&quot;$&quot;* #,##0.00_);_(&quot;$&quot;* \(#,##0.00\);_(&quot;$&quot;* &quot;-&quot;??_);_(@_)"/>
    <numFmt numFmtId="164" formatCode="_-* #,##0.00\ [$ج.م.‏-C01]_-;\-* #,##0.00\ [$ج.م.‏-C01]_-;_-* &quot;-&quot;??\ [$ج.م.‏-C01]_-;_-@_-"/>
    <numFmt numFmtId="165" formatCode="_-* #,##0\ [$ج.م.‏-C01]_-;\-* #,##0\ [$ج.م.‏-C01]_-;_-* &quot;-&quot;??\ [$ج.م.‏-C01]_-;_-@_-"/>
    <numFmt numFmtId="166" formatCode="_ [$¥-804]* #,##0.00_ ;_ [$¥-804]* \-#,##0.00_ ;_ [$¥-804]* &quot;-&quot;??_ ;_ @_ "/>
    <numFmt numFmtId="167" formatCode="0.0%"/>
    <numFmt numFmtId="168" formatCode="0.0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color rgb="FF15803D"/>
      <name val="Arial"/>
      <family val="2"/>
    </font>
    <font>
      <sz val="16"/>
      <color rgb="FFFFC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9" tint="0.40000610370189521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C00000"/>
        </stop>
      </gradient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4.9989318521683403E-2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4">
    <xf numFmtId="0" fontId="0" fillId="0" borderId="0" xfId="0"/>
    <xf numFmtId="0" fontId="0" fillId="3" borderId="0" xfId="0" applyFill="1"/>
    <xf numFmtId="0" fontId="4" fillId="4" borderId="1" xfId="0" applyFont="1" applyFill="1" applyBorder="1"/>
    <xf numFmtId="164" fontId="4" fillId="4" borderId="2" xfId="1" applyNumberFormat="1" applyFont="1" applyFill="1" applyBorder="1"/>
    <xf numFmtId="165" fontId="4" fillId="4" borderId="2" xfId="1" applyNumberFormat="1" applyFont="1" applyFill="1" applyBorder="1"/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/>
    <xf numFmtId="0" fontId="3" fillId="5" borderId="1" xfId="0" applyFont="1" applyFill="1" applyBorder="1"/>
    <xf numFmtId="0" fontId="4" fillId="5" borderId="1" xfId="0" applyFont="1" applyFill="1" applyBorder="1"/>
    <xf numFmtId="166" fontId="4" fillId="4" borderId="2" xfId="1" applyNumberFormat="1" applyFont="1" applyFill="1" applyBorder="1"/>
    <xf numFmtId="0" fontId="4" fillId="4" borderId="4" xfId="0" applyFont="1" applyFill="1" applyBorder="1"/>
    <xf numFmtId="0" fontId="6" fillId="7" borderId="6" xfId="0" applyFont="1" applyFill="1" applyBorder="1" applyAlignment="1">
      <alignment horizontal="center" vertical="center" readingOrder="2"/>
    </xf>
    <xf numFmtId="0" fontId="2" fillId="7" borderId="6" xfId="0" applyFont="1" applyFill="1" applyBorder="1" applyAlignment="1">
      <alignment horizontal="center" vertical="center" readingOrder="2"/>
    </xf>
    <xf numFmtId="0" fontId="0" fillId="7" borderId="7" xfId="0" applyFill="1" applyBorder="1" applyAlignment="1">
      <alignment horizontal="center" vertical="center" wrapText="1" readingOrder="2"/>
    </xf>
    <xf numFmtId="0" fontId="0" fillId="8" borderId="12" xfId="0" applyFill="1" applyBorder="1" applyAlignment="1">
      <alignment horizontal="right" vertical="center" readingOrder="2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5" fillId="0" borderId="23" xfId="0" applyFont="1" applyBorder="1"/>
    <xf numFmtId="165" fontId="5" fillId="0" borderId="23" xfId="0" applyNumberFormat="1" applyFont="1" applyBorder="1"/>
    <xf numFmtId="0" fontId="5" fillId="0" borderId="0" xfId="0" applyFont="1"/>
    <xf numFmtId="0" fontId="5" fillId="0" borderId="23" xfId="0" applyFont="1" applyBorder="1" applyAlignment="1">
      <alignment horizontal="center"/>
    </xf>
    <xf numFmtId="10" fontId="9" fillId="0" borderId="0" xfId="0" applyNumberFormat="1" applyFont="1"/>
    <xf numFmtId="164" fontId="4" fillId="4" borderId="2" xfId="1" applyNumberFormat="1" applyFont="1" applyFill="1" applyBorder="1" applyAlignment="1">
      <alignment horizontal="center"/>
    </xf>
    <xf numFmtId="165" fontId="4" fillId="4" borderId="2" xfId="1" applyNumberFormat="1" applyFont="1" applyFill="1" applyBorder="1" applyAlignment="1">
      <alignment horizontal="center"/>
    </xf>
    <xf numFmtId="0" fontId="4" fillId="2" borderId="24" xfId="0" applyFont="1" applyFill="1" applyBorder="1"/>
    <xf numFmtId="0" fontId="4" fillId="4" borderId="24" xfId="0" applyFont="1" applyFill="1" applyBorder="1"/>
    <xf numFmtId="0" fontId="4" fillId="2" borderId="4" xfId="0" applyFont="1" applyFill="1" applyBorder="1"/>
    <xf numFmtId="165" fontId="4" fillId="2" borderId="2" xfId="1" applyNumberFormat="1" applyFont="1" applyFill="1" applyBorder="1"/>
    <xf numFmtId="165" fontId="0" fillId="0" borderId="0" xfId="0" applyNumberFormat="1"/>
    <xf numFmtId="165" fontId="5" fillId="0" borderId="0" xfId="0" applyNumberFormat="1" applyFont="1"/>
    <xf numFmtId="9" fontId="0" fillId="0" borderId="0" xfId="2" applyFont="1"/>
    <xf numFmtId="0" fontId="0" fillId="10" borderId="0" xfId="0" applyFill="1"/>
    <xf numFmtId="0" fontId="6" fillId="0" borderId="27" xfId="0" applyFont="1" applyBorder="1"/>
    <xf numFmtId="0" fontId="0" fillId="0" borderId="27" xfId="0" applyBorder="1"/>
    <xf numFmtId="165" fontId="5" fillId="0" borderId="27" xfId="0" applyNumberFormat="1" applyFont="1" applyBorder="1"/>
    <xf numFmtId="168" fontId="5" fillId="0" borderId="27" xfId="2" applyNumberFormat="1" applyFont="1" applyBorder="1" applyAlignment="1">
      <alignment horizontal="center" vertical="center"/>
    </xf>
    <xf numFmtId="0" fontId="6" fillId="0" borderId="28" xfId="0" applyFont="1" applyBorder="1"/>
    <xf numFmtId="0" fontId="0" fillId="0" borderId="28" xfId="0" applyBorder="1"/>
    <xf numFmtId="165" fontId="5" fillId="0" borderId="28" xfId="0" applyNumberFormat="1" applyFont="1" applyBorder="1"/>
    <xf numFmtId="168" fontId="5" fillId="0" borderId="28" xfId="2" applyNumberFormat="1" applyFont="1" applyBorder="1" applyAlignment="1">
      <alignment horizontal="center" vertical="center"/>
    </xf>
    <xf numFmtId="165" fontId="5" fillId="0" borderId="29" xfId="0" applyNumberFormat="1" applyFont="1" applyBorder="1"/>
    <xf numFmtId="0" fontId="0" fillId="0" borderId="31" xfId="0" applyBorder="1"/>
    <xf numFmtId="0" fontId="0" fillId="0" borderId="30" xfId="0" applyBorder="1"/>
    <xf numFmtId="168" fontId="5" fillId="0" borderId="27" xfId="2" applyNumberFormat="1" applyFont="1" applyFill="1" applyBorder="1" applyAlignment="1">
      <alignment horizontal="center" vertical="center"/>
    </xf>
    <xf numFmtId="168" fontId="5" fillId="0" borderId="28" xfId="2" applyNumberFormat="1" applyFont="1" applyFill="1" applyBorder="1" applyAlignment="1">
      <alignment horizontal="center" vertical="center"/>
    </xf>
    <xf numFmtId="0" fontId="0" fillId="0" borderId="35" xfId="0" applyBorder="1"/>
    <xf numFmtId="0" fontId="0" fillId="0" borderId="5" xfId="0" applyBorder="1"/>
    <xf numFmtId="0" fontId="0" fillId="0" borderId="38" xfId="0" applyBorder="1"/>
    <xf numFmtId="0" fontId="0" fillId="0" borderId="41" xfId="0" applyBorder="1"/>
    <xf numFmtId="0" fontId="6" fillId="0" borderId="38" xfId="0" applyFont="1" applyBorder="1"/>
    <xf numFmtId="0" fontId="0" fillId="0" borderId="42" xfId="0" applyBorder="1"/>
    <xf numFmtId="0" fontId="6" fillId="0" borderId="38" xfId="0" applyFont="1" applyBorder="1" applyAlignment="1">
      <alignment horizontal="left"/>
    </xf>
    <xf numFmtId="0" fontId="0" fillId="0" borderId="43" xfId="0" applyBorder="1"/>
    <xf numFmtId="0" fontId="0" fillId="0" borderId="44" xfId="0" applyBorder="1"/>
    <xf numFmtId="168" fontId="0" fillId="0" borderId="0" xfId="0" applyNumberFormat="1"/>
    <xf numFmtId="0" fontId="6" fillId="0" borderId="0" xfId="0" applyFont="1" applyAlignment="1">
      <alignment horizontal="right"/>
    </xf>
    <xf numFmtId="0" fontId="12" fillId="0" borderId="0" xfId="0" applyFont="1"/>
    <xf numFmtId="9" fontId="5" fillId="0" borderId="29" xfId="2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readingOrder="2"/>
    </xf>
    <xf numFmtId="0" fontId="2" fillId="3" borderId="9" xfId="0" applyFont="1" applyFill="1" applyBorder="1" applyAlignment="1">
      <alignment horizontal="center" vertical="center" readingOrder="2"/>
    </xf>
    <xf numFmtId="0" fontId="2" fillId="3" borderId="10" xfId="0" applyFont="1" applyFill="1" applyBorder="1" applyAlignment="1">
      <alignment horizontal="center" vertical="center" readingOrder="2"/>
    </xf>
    <xf numFmtId="0" fontId="2" fillId="3" borderId="11" xfId="0" applyFont="1" applyFill="1" applyBorder="1" applyAlignment="1">
      <alignment horizontal="center" vertical="center" readingOrder="2"/>
    </xf>
    <xf numFmtId="0" fontId="2" fillId="8" borderId="12" xfId="0" applyFont="1" applyFill="1" applyBorder="1" applyAlignment="1">
      <alignment horizontal="center" vertical="center" readingOrder="2"/>
    </xf>
    <xf numFmtId="0" fontId="2" fillId="3" borderId="13" xfId="0" applyFont="1" applyFill="1" applyBorder="1" applyAlignment="1">
      <alignment horizontal="center" vertical="center" readingOrder="2"/>
    </xf>
    <xf numFmtId="0" fontId="2" fillId="3" borderId="16" xfId="0" applyFont="1" applyFill="1" applyBorder="1" applyAlignment="1">
      <alignment horizontal="center" vertical="center" readingOrder="2"/>
    </xf>
    <xf numFmtId="0" fontId="2" fillId="3" borderId="7" xfId="0" applyFont="1" applyFill="1" applyBorder="1" applyAlignment="1">
      <alignment horizontal="center" vertical="center" readingOrder="2"/>
    </xf>
    <xf numFmtId="0" fontId="2" fillId="3" borderId="17" xfId="0" applyFont="1" applyFill="1" applyBorder="1" applyAlignment="1">
      <alignment horizontal="center" vertical="center" readingOrder="2"/>
    </xf>
    <xf numFmtId="0" fontId="2" fillId="3" borderId="18" xfId="0" applyFont="1" applyFill="1" applyBorder="1" applyAlignment="1">
      <alignment horizontal="center" vertical="center" readingOrder="2"/>
    </xf>
    <xf numFmtId="0" fontId="2" fillId="8" borderId="12" xfId="0" applyFont="1" applyFill="1" applyBorder="1" applyAlignment="1">
      <alignment horizontal="right" vertical="center" readingOrder="2"/>
    </xf>
    <xf numFmtId="0" fontId="2" fillId="0" borderId="0" xfId="0" applyFont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5" fontId="4" fillId="4" borderId="2" xfId="1" applyNumberFormat="1" applyFont="1" applyFill="1" applyBorder="1" applyAlignment="1">
      <alignment horizontal="center" vertical="center"/>
    </xf>
    <xf numFmtId="9" fontId="13" fillId="12" borderId="2" xfId="2" applyFont="1" applyFill="1" applyBorder="1" applyAlignment="1">
      <alignment horizontal="center" vertical="center"/>
    </xf>
    <xf numFmtId="15" fontId="4" fillId="2" borderId="38" xfId="0" applyNumberFormat="1" applyFont="1" applyFill="1" applyBorder="1" applyAlignment="1">
      <alignment horizontal="center" vertical="center"/>
    </xf>
    <xf numFmtId="15" fontId="4" fillId="2" borderId="47" xfId="0" applyNumberFormat="1" applyFont="1" applyFill="1" applyBorder="1" applyAlignment="1">
      <alignment horizontal="center" vertical="center"/>
    </xf>
    <xf numFmtId="15" fontId="4" fillId="2" borderId="38" xfId="0" applyNumberFormat="1" applyFont="1" applyFill="1" applyBorder="1" applyAlignment="1">
      <alignment vertical="center"/>
    </xf>
    <xf numFmtId="15" fontId="4" fillId="2" borderId="47" xfId="0" applyNumberFormat="1" applyFont="1" applyFill="1" applyBorder="1" applyAlignment="1">
      <alignment vertical="center"/>
    </xf>
    <xf numFmtId="0" fontId="14" fillId="0" borderId="0" xfId="0" applyFont="1"/>
    <xf numFmtId="0" fontId="4" fillId="2" borderId="3" xfId="0" applyFont="1" applyFill="1" applyBorder="1" applyAlignment="1">
      <alignment vertical="center"/>
    </xf>
    <xf numFmtId="167" fontId="13" fillId="12" borderId="2" xfId="2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3" borderId="9" xfId="0" applyFont="1" applyFill="1" applyBorder="1" applyAlignment="1">
      <alignment horizontal="center" vertical="center" readingOrder="2"/>
    </xf>
    <xf numFmtId="0" fontId="15" fillId="3" borderId="11" xfId="0" applyFont="1" applyFill="1" applyBorder="1" applyAlignment="1">
      <alignment horizontal="center" vertical="center" readingOrder="2"/>
    </xf>
    <xf numFmtId="0" fontId="15" fillId="8" borderId="12" xfId="0" applyFont="1" applyFill="1" applyBorder="1" applyAlignment="1">
      <alignment horizontal="center" vertical="center" readingOrder="2"/>
    </xf>
    <xf numFmtId="0" fontId="15" fillId="8" borderId="12" xfId="0" applyFont="1" applyFill="1" applyBorder="1" applyAlignment="1">
      <alignment horizontal="left" vertical="center" readingOrder="2"/>
    </xf>
    <xf numFmtId="0" fontId="15" fillId="3" borderId="2" xfId="0" applyFont="1" applyFill="1" applyBorder="1" applyAlignment="1">
      <alignment horizontal="center" vertical="center" readingOrder="2"/>
    </xf>
    <xf numFmtId="0" fontId="15" fillId="3" borderId="15" xfId="0" applyFont="1" applyFill="1" applyBorder="1" applyAlignment="1">
      <alignment horizontal="center" vertical="center" readingOrder="2"/>
    </xf>
    <xf numFmtId="0" fontId="0" fillId="0" borderId="50" xfId="0" applyBorder="1"/>
    <xf numFmtId="0" fontId="0" fillId="0" borderId="49" xfId="0" applyBorder="1"/>
    <xf numFmtId="0" fontId="17" fillId="3" borderId="11" xfId="0" applyFont="1" applyFill="1" applyBorder="1" applyAlignment="1">
      <alignment horizontal="center" vertical="center" readingOrder="2"/>
    </xf>
    <xf numFmtId="0" fontId="17" fillId="3" borderId="9" xfId="0" applyFont="1" applyFill="1" applyBorder="1" applyAlignment="1">
      <alignment horizontal="center" vertical="center" readingOrder="2"/>
    </xf>
    <xf numFmtId="0" fontId="17" fillId="8" borderId="12" xfId="0" applyFont="1" applyFill="1" applyBorder="1" applyAlignment="1">
      <alignment horizontal="center" vertical="center" readingOrder="2"/>
    </xf>
    <xf numFmtId="0" fontId="17" fillId="3" borderId="2" xfId="0" applyFont="1" applyFill="1" applyBorder="1" applyAlignment="1">
      <alignment horizontal="center" vertical="center" readingOrder="2"/>
    </xf>
    <xf numFmtId="9" fontId="17" fillId="3" borderId="7" xfId="2" applyFont="1" applyFill="1" applyBorder="1" applyAlignment="1">
      <alignment horizontal="center" vertical="center" readingOrder="2"/>
    </xf>
    <xf numFmtId="9" fontId="17" fillId="3" borderId="18" xfId="2" applyFont="1" applyFill="1" applyBorder="1" applyAlignment="1">
      <alignment horizontal="center" vertical="center" readingOrder="2"/>
    </xf>
    <xf numFmtId="1" fontId="17" fillId="3" borderId="9" xfId="0" applyNumberFormat="1" applyFont="1" applyFill="1" applyBorder="1" applyAlignment="1">
      <alignment horizontal="center" vertical="center" readingOrder="2"/>
    </xf>
    <xf numFmtId="167" fontId="17" fillId="3" borderId="18" xfId="2" applyNumberFormat="1" applyFont="1" applyFill="1" applyBorder="1" applyAlignment="1">
      <alignment horizontal="center" vertical="center" readingOrder="2"/>
    </xf>
    <xf numFmtId="0" fontId="11" fillId="11" borderId="0" xfId="0" applyFont="1" applyFill="1" applyAlignment="1">
      <alignment vertical="center"/>
    </xf>
    <xf numFmtId="0" fontId="12" fillId="3" borderId="0" xfId="0" applyFont="1" applyFill="1"/>
    <xf numFmtId="15" fontId="4" fillId="2" borderId="0" xfId="0" applyNumberFormat="1" applyFont="1" applyFill="1" applyAlignment="1">
      <alignment horizontal="center" vertical="center"/>
    </xf>
    <xf numFmtId="15" fontId="4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9" borderId="42" xfId="0" applyFont="1" applyFill="1" applyBorder="1" applyAlignment="1">
      <alignment horizontal="center" vertical="center"/>
    </xf>
    <xf numFmtId="0" fontId="7" fillId="9" borderId="37" xfId="0" applyFont="1" applyFill="1" applyBorder="1" applyAlignment="1">
      <alignment horizontal="center" vertical="center"/>
    </xf>
    <xf numFmtId="165" fontId="5" fillId="9" borderId="25" xfId="0" applyNumberFormat="1" applyFont="1" applyFill="1" applyBorder="1" applyAlignment="1">
      <alignment horizontal="center" vertical="center"/>
    </xf>
    <xf numFmtId="165" fontId="5" fillId="9" borderId="26" xfId="0" applyNumberFormat="1" applyFont="1" applyFill="1" applyBorder="1" applyAlignment="1">
      <alignment horizontal="center" vertical="center"/>
    </xf>
    <xf numFmtId="0" fontId="7" fillId="9" borderId="38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22" xfId="0" applyFont="1" applyFill="1" applyBorder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7" fillId="9" borderId="46" xfId="0" applyFont="1" applyFill="1" applyBorder="1" applyAlignment="1">
      <alignment horizontal="center" vertical="center"/>
    </xf>
    <xf numFmtId="0" fontId="7" fillId="9" borderId="45" xfId="0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36" xfId="0" applyFont="1" applyFill="1" applyBorder="1" applyAlignment="1">
      <alignment horizontal="center" vertical="center"/>
    </xf>
    <xf numFmtId="0" fontId="7" fillId="9" borderId="39" xfId="0" applyFont="1" applyFill="1" applyBorder="1" applyAlignment="1">
      <alignment horizontal="center" vertical="center"/>
    </xf>
    <xf numFmtId="0" fontId="7" fillId="9" borderId="40" xfId="0" applyFont="1" applyFill="1" applyBorder="1" applyAlignment="1">
      <alignment horizontal="center" vertical="center"/>
    </xf>
    <xf numFmtId="0" fontId="10" fillId="0" borderId="33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7" fillId="9" borderId="35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15" fontId="4" fillId="2" borderId="46" xfId="0" applyNumberFormat="1" applyFont="1" applyFill="1" applyBorder="1" applyAlignment="1">
      <alignment horizontal="center" vertical="center"/>
    </xf>
    <xf numFmtId="15" fontId="4" fillId="2" borderId="48" xfId="0" applyNumberFormat="1" applyFont="1" applyFill="1" applyBorder="1" applyAlignment="1">
      <alignment horizontal="center" vertical="center"/>
    </xf>
    <xf numFmtId="15" fontId="4" fillId="2" borderId="38" xfId="0" applyNumberFormat="1" applyFont="1" applyFill="1" applyBorder="1" applyAlignment="1">
      <alignment horizontal="center" vertical="center"/>
    </xf>
    <xf numFmtId="15" fontId="4" fillId="2" borderId="47" xfId="0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 readingOrder="2"/>
    </xf>
    <xf numFmtId="0" fontId="2" fillId="7" borderId="21" xfId="0" applyFont="1" applyFill="1" applyBorder="1" applyAlignment="1">
      <alignment horizontal="center" vertical="center" readingOrder="2"/>
    </xf>
    <xf numFmtId="0" fontId="2" fillId="7" borderId="20" xfId="0" applyFont="1" applyFill="1" applyBorder="1" applyAlignment="1">
      <alignment horizontal="center" vertical="center" readingOrder="2"/>
    </xf>
    <xf numFmtId="0" fontId="2" fillId="7" borderId="19" xfId="0" applyFont="1" applyFill="1" applyBorder="1" applyAlignment="1">
      <alignment horizontal="center" vertical="center" readingOrder="2"/>
    </xf>
    <xf numFmtId="0" fontId="2" fillId="7" borderId="14" xfId="0" applyFont="1" applyFill="1" applyBorder="1" applyAlignment="1">
      <alignment horizontal="center" vertical="center" readingOrder="2"/>
    </xf>
  </cellXfs>
  <cellStyles count="3">
    <cellStyle name="Currency" xfId="1" builtinId="4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34289EEA-F7CC-48AC-AE75-DC3E35184BE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Income</a:t>
            </a:r>
            <a:r>
              <a:rPr lang="en-US" baseline="0"/>
              <a:t> Statement </a:t>
            </a:r>
          </a:p>
          <a:p>
            <a:pPr>
              <a:defRPr/>
            </a:pPr>
            <a:r>
              <a:rPr lang="en-US" baseline="0"/>
              <a:t>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6812142796742955E-2"/>
          <c:y val="0.18819870768272612"/>
          <c:w val="0.9516064716484034"/>
          <c:h val="0.65643100226878415"/>
        </c:manualLayout>
      </c:layout>
      <c:barChart>
        <c:barDir val="col"/>
        <c:grouping val="clustered"/>
        <c:varyColors val="0"/>
        <c:ser>
          <c:idx val="5"/>
          <c:order val="5"/>
          <c:tx>
            <c:strRef>
              <c:f>'Common size analysis'!$G$1:$G$3</c:f>
              <c:strCache>
                <c:ptCount val="3"/>
                <c:pt idx="0">
                  <c:v>31-Dec-24</c:v>
                </c:pt>
                <c:pt idx="2">
                  <c:v>ANA24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'Common size analysis'!$A$4:$A$17</c15:sqref>
                  </c15:fullRef>
                </c:ext>
              </c:extLst>
              <c:f>('Common size analysis'!$A$4,'Common size analysis'!$A$6:$A$17)</c:f>
              <c:strCache>
                <c:ptCount val="13"/>
                <c:pt idx="0">
                  <c:v>Sales revenue</c:v>
                </c:pt>
                <c:pt idx="1">
                  <c:v>Gross profit</c:v>
                </c:pt>
                <c:pt idx="2">
                  <c:v>Less: operating expenses</c:v>
                </c:pt>
                <c:pt idx="3">
                  <c:v>Selling expense</c:v>
                </c:pt>
                <c:pt idx="4">
                  <c:v>General and administrative expenses</c:v>
                </c:pt>
                <c:pt idx="5">
                  <c:v>Depreciation expense</c:v>
                </c:pt>
                <c:pt idx="6">
                  <c:v>Total operating expense</c:v>
                </c:pt>
                <c:pt idx="7">
                  <c:v>Operating profits(EPIT)</c:v>
                </c:pt>
                <c:pt idx="8">
                  <c:v>Less:interest expense</c:v>
                </c:pt>
                <c:pt idx="9">
                  <c:v>Net profits before taxes</c:v>
                </c:pt>
                <c:pt idx="10">
                  <c:v>Less: Taxes</c:v>
                </c:pt>
                <c:pt idx="11">
                  <c:v>Net profits after taxes</c:v>
                </c:pt>
                <c:pt idx="12">
                  <c:v>Earning available for common stockholders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'Common size analysis'!$G$4:$G$17</c15:sqref>
                  </c15:fullRef>
                </c:ext>
              </c:extLst>
              <c:f>('Common size analysis'!$G$4,'Common size analysis'!$G$6:$G$17)</c:f>
              <c:numCache>
                <c:formatCode>0%</c:formatCode>
                <c:ptCount val="13"/>
                <c:pt idx="0">
                  <c:v>1</c:v>
                </c:pt>
                <c:pt idx="1">
                  <c:v>0.32990032516617679</c:v>
                </c:pt>
                <c:pt idx="3">
                  <c:v>3.7902451323418178E-2</c:v>
                </c:pt>
                <c:pt idx="4">
                  <c:v>0.15385588792101365</c:v>
                </c:pt>
                <c:pt idx="5">
                  <c:v>1.2769663921421887E-2</c:v>
                </c:pt>
                <c:pt idx="6">
                  <c:v>0.20452800316585373</c:v>
                </c:pt>
                <c:pt idx="7">
                  <c:v>0.12537232200032308</c:v>
                </c:pt>
                <c:pt idx="8">
                  <c:v>3.0275608536775734E-2</c:v>
                </c:pt>
                <c:pt idx="9">
                  <c:v>9.5096713463547353E-2</c:v>
                </c:pt>
                <c:pt idx="10">
                  <c:v>2.5605650772423162E-3</c:v>
                </c:pt>
                <c:pt idx="11">
                  <c:v>9.2536148386305042E-2</c:v>
                </c:pt>
                <c:pt idx="12">
                  <c:v>9.4901525449438945E-2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C66-44FF-BA80-64729E104921}"/>
            </c:ext>
          </c:extLst>
        </c:ser>
        <c:ser>
          <c:idx val="7"/>
          <c:order val="7"/>
          <c:tx>
            <c:strRef>
              <c:f>'Common size analysis'!$I$1:$I$3</c:f>
              <c:strCache>
                <c:ptCount val="3"/>
                <c:pt idx="0">
                  <c:v>31-Dec-23</c:v>
                </c:pt>
                <c:pt idx="2">
                  <c:v>ANA23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'Common size analysis'!$A$4:$A$17</c15:sqref>
                  </c15:fullRef>
                </c:ext>
              </c:extLst>
              <c:f>('Common size analysis'!$A$4,'Common size analysis'!$A$6:$A$17)</c:f>
              <c:strCache>
                <c:ptCount val="13"/>
                <c:pt idx="0">
                  <c:v>Sales revenue</c:v>
                </c:pt>
                <c:pt idx="1">
                  <c:v>Gross profit</c:v>
                </c:pt>
                <c:pt idx="2">
                  <c:v>Less: operating expenses</c:v>
                </c:pt>
                <c:pt idx="3">
                  <c:v>Selling expense</c:v>
                </c:pt>
                <c:pt idx="4">
                  <c:v>General and administrative expenses</c:v>
                </c:pt>
                <c:pt idx="5">
                  <c:v>Depreciation expense</c:v>
                </c:pt>
                <c:pt idx="6">
                  <c:v>Total operating expense</c:v>
                </c:pt>
                <c:pt idx="7">
                  <c:v>Operating profits(EPIT)</c:v>
                </c:pt>
                <c:pt idx="8">
                  <c:v>Less:interest expense</c:v>
                </c:pt>
                <c:pt idx="9">
                  <c:v>Net profits before taxes</c:v>
                </c:pt>
                <c:pt idx="10">
                  <c:v>Less: Taxes</c:v>
                </c:pt>
                <c:pt idx="11">
                  <c:v>Net profits after taxes</c:v>
                </c:pt>
                <c:pt idx="12">
                  <c:v>Earning available for common stockholders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'Common size analysis'!$I$4:$I$17</c15:sqref>
                  </c15:fullRef>
                </c:ext>
              </c:extLst>
              <c:f>('Common size analysis'!$I$4,'Common size analysis'!$I$6:$I$17)</c:f>
              <c:numCache>
                <c:formatCode>0%</c:formatCode>
                <c:ptCount val="13"/>
                <c:pt idx="0">
                  <c:v>1</c:v>
                </c:pt>
                <c:pt idx="1">
                  <c:v>0.34095240958383316</c:v>
                </c:pt>
                <c:pt idx="3">
                  <c:v>3.4242562738098829E-2</c:v>
                </c:pt>
                <c:pt idx="4">
                  <c:v>0.15133428645216265</c:v>
                </c:pt>
                <c:pt idx="5">
                  <c:v>2.2650804620013086E-2</c:v>
                </c:pt>
                <c:pt idx="6">
                  <c:v>0.20822765381027458</c:v>
                </c:pt>
                <c:pt idx="7">
                  <c:v>0.13272475577355855</c:v>
                </c:pt>
                <c:pt idx="8">
                  <c:v>2.1603782032185319E-2</c:v>
                </c:pt>
                <c:pt idx="9">
                  <c:v>0.11112097374137324</c:v>
                </c:pt>
                <c:pt idx="10">
                  <c:v>4.1078790911792101E-3</c:v>
                </c:pt>
                <c:pt idx="11">
                  <c:v>0.10701309465019403</c:v>
                </c:pt>
                <c:pt idx="12">
                  <c:v>0.11093014337859936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C66-44FF-BA80-64729E104921}"/>
            </c:ext>
          </c:extLst>
        </c:ser>
        <c:ser>
          <c:idx val="9"/>
          <c:order val="9"/>
          <c:tx>
            <c:strRef>
              <c:f>'Common size analysis'!$K$1:$K$3</c:f>
              <c:strCache>
                <c:ptCount val="3"/>
                <c:pt idx="0">
                  <c:v>31-Dec-22</c:v>
                </c:pt>
                <c:pt idx="2">
                  <c:v>ANA22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'Common size analysis'!$A$4:$A$17</c15:sqref>
                  </c15:fullRef>
                </c:ext>
              </c:extLst>
              <c:f>('Common size analysis'!$A$4,'Common size analysis'!$A$6:$A$17)</c:f>
              <c:strCache>
                <c:ptCount val="13"/>
                <c:pt idx="0">
                  <c:v>Sales revenue</c:v>
                </c:pt>
                <c:pt idx="1">
                  <c:v>Gross profit</c:v>
                </c:pt>
                <c:pt idx="2">
                  <c:v>Less: operating expenses</c:v>
                </c:pt>
                <c:pt idx="3">
                  <c:v>Selling expense</c:v>
                </c:pt>
                <c:pt idx="4">
                  <c:v>General and administrative expenses</c:v>
                </c:pt>
                <c:pt idx="5">
                  <c:v>Depreciation expense</c:v>
                </c:pt>
                <c:pt idx="6">
                  <c:v>Total operating expense</c:v>
                </c:pt>
                <c:pt idx="7">
                  <c:v>Operating profits(EPIT)</c:v>
                </c:pt>
                <c:pt idx="8">
                  <c:v>Less:interest expense</c:v>
                </c:pt>
                <c:pt idx="9">
                  <c:v>Net profits before taxes</c:v>
                </c:pt>
                <c:pt idx="10">
                  <c:v>Less: Taxes</c:v>
                </c:pt>
                <c:pt idx="11">
                  <c:v>Net profits after taxes</c:v>
                </c:pt>
                <c:pt idx="12">
                  <c:v>Earning available for common stockholders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'Common size analysis'!$K$4:$K$17</c15:sqref>
                  </c15:fullRef>
                </c:ext>
              </c:extLst>
              <c:f>('Common size analysis'!$K$4,'Common size analysis'!$K$6:$K$17)</c:f>
              <c:numCache>
                <c:formatCode>0%</c:formatCode>
                <c:ptCount val="13"/>
                <c:pt idx="0">
                  <c:v>1</c:v>
                </c:pt>
                <c:pt idx="1">
                  <c:v>0.38676819912703336</c:v>
                </c:pt>
                <c:pt idx="3">
                  <c:v>0</c:v>
                </c:pt>
                <c:pt idx="4">
                  <c:v>0.17015494869928738</c:v>
                </c:pt>
                <c:pt idx="5">
                  <c:v>2.0211309392360679E-2</c:v>
                </c:pt>
                <c:pt idx="6">
                  <c:v>0.19036625809164806</c:v>
                </c:pt>
                <c:pt idx="7">
                  <c:v>0.1964019410353853</c:v>
                </c:pt>
                <c:pt idx="8">
                  <c:v>4.4162203578279914E-2</c:v>
                </c:pt>
                <c:pt idx="9">
                  <c:v>0.1522397374571054</c:v>
                </c:pt>
                <c:pt idx="10">
                  <c:v>7.2341397937217833E-3</c:v>
                </c:pt>
                <c:pt idx="11">
                  <c:v>0.14500559766338361</c:v>
                </c:pt>
                <c:pt idx="12">
                  <c:v>0.13783266539030981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C66-44FF-BA80-64729E104921}"/>
            </c:ext>
          </c:extLst>
        </c:ser>
        <c:ser>
          <c:idx val="11"/>
          <c:order val="11"/>
          <c:tx>
            <c:strRef>
              <c:f>'Common size analysis'!$M$1:$M$3</c:f>
              <c:strCache>
                <c:ptCount val="3"/>
                <c:pt idx="0">
                  <c:v>31-Dec-21</c:v>
                </c:pt>
                <c:pt idx="2">
                  <c:v>ANA21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'Common size analysis'!$A$4:$A$17</c15:sqref>
                  </c15:fullRef>
                </c:ext>
              </c:extLst>
              <c:f>('Common size analysis'!$A$4,'Common size analysis'!$A$6:$A$17)</c:f>
              <c:strCache>
                <c:ptCount val="13"/>
                <c:pt idx="0">
                  <c:v>Sales revenue</c:v>
                </c:pt>
                <c:pt idx="1">
                  <c:v>Gross profit</c:v>
                </c:pt>
                <c:pt idx="2">
                  <c:v>Less: operating expenses</c:v>
                </c:pt>
                <c:pt idx="3">
                  <c:v>Selling expense</c:v>
                </c:pt>
                <c:pt idx="4">
                  <c:v>General and administrative expenses</c:v>
                </c:pt>
                <c:pt idx="5">
                  <c:v>Depreciation expense</c:v>
                </c:pt>
                <c:pt idx="6">
                  <c:v>Total operating expense</c:v>
                </c:pt>
                <c:pt idx="7">
                  <c:v>Operating profits(EPIT)</c:v>
                </c:pt>
                <c:pt idx="8">
                  <c:v>Less:interest expense</c:v>
                </c:pt>
                <c:pt idx="9">
                  <c:v>Net profits before taxes</c:v>
                </c:pt>
                <c:pt idx="10">
                  <c:v>Less: Taxes</c:v>
                </c:pt>
                <c:pt idx="11">
                  <c:v>Net profits after taxes</c:v>
                </c:pt>
                <c:pt idx="12">
                  <c:v>Earning available for common stockholders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'Common size analysis'!$M$4:$M$17</c15:sqref>
                  </c15:fullRef>
                </c:ext>
              </c:extLst>
              <c:f>('Common size analysis'!$M$4,'Common size analysis'!$M$6:$M$17)</c:f>
              <c:numCache>
                <c:formatCode>0%</c:formatCode>
                <c:ptCount val="13"/>
                <c:pt idx="0">
                  <c:v>1</c:v>
                </c:pt>
                <c:pt idx="1">
                  <c:v>0.37417470275161202</c:v>
                </c:pt>
                <c:pt idx="3">
                  <c:v>0</c:v>
                </c:pt>
                <c:pt idx="4">
                  <c:v>0.15044508536050885</c:v>
                </c:pt>
                <c:pt idx="5">
                  <c:v>1.2907218402859445E-2</c:v>
                </c:pt>
                <c:pt idx="6">
                  <c:v>0.16335230376336832</c:v>
                </c:pt>
                <c:pt idx="7">
                  <c:v>0.21082239898824373</c:v>
                </c:pt>
                <c:pt idx="8">
                  <c:v>4.9402804179149752E-2</c:v>
                </c:pt>
                <c:pt idx="9">
                  <c:v>0.16141959480909399</c:v>
                </c:pt>
                <c:pt idx="10">
                  <c:v>1.5827649273250022E-2</c:v>
                </c:pt>
                <c:pt idx="11">
                  <c:v>0.14559194553584395</c:v>
                </c:pt>
                <c:pt idx="12">
                  <c:v>0.14559199566096398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C66-44FF-BA80-64729E104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38386799"/>
        <c:axId val="103839159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'Common size analysis'!$B$1:$B$3</c15:sqref>
                        </c15:formulaRef>
                      </c:ext>
                    </c:extLst>
                    <c:strCache>
                      <c:ptCount val="3"/>
                      <c:pt idx="0">
                        <c:v>Egypt Aluminum Company</c:v>
                      </c:pt>
                      <c:pt idx="1">
                        <c:v>Income Statement (in thousands)</c:v>
                      </c:pt>
                      <c:pt idx="2">
                        <c:v>for the year ended 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'Common size analysis'!$A$4:$A$17</c15:sqref>
                        </c15:fullRef>
                        <c15:formulaRef>
                          <c15:sqref>('Common size analysis'!$A$4,'Common size analysis'!$A$6:$A$17)</c15:sqref>
                        </c15:formulaRef>
                      </c:ext>
                    </c:extLst>
                    <c:strCache>
                      <c:ptCount val="13"/>
                      <c:pt idx="0">
                        <c:v>Sales revenue</c:v>
                      </c:pt>
                      <c:pt idx="1">
                        <c:v>Gross profit</c:v>
                      </c:pt>
                      <c:pt idx="2">
                        <c:v>Less: operating expenses</c:v>
                      </c:pt>
                      <c:pt idx="3">
                        <c:v>Selling expense</c:v>
                      </c:pt>
                      <c:pt idx="4">
                        <c:v>General and administrative expenses</c:v>
                      </c:pt>
                      <c:pt idx="5">
                        <c:v>Depreciation expense</c:v>
                      </c:pt>
                      <c:pt idx="6">
                        <c:v>Total operating expense</c:v>
                      </c:pt>
                      <c:pt idx="7">
                        <c:v>Operating profits(EPIT)</c:v>
                      </c:pt>
                      <c:pt idx="8">
                        <c:v>Less:interest expense</c:v>
                      </c:pt>
                      <c:pt idx="9">
                        <c:v>Net profits before taxes</c:v>
                      </c:pt>
                      <c:pt idx="10">
                        <c:v>Less: Taxes</c:v>
                      </c:pt>
                      <c:pt idx="11">
                        <c:v>Net profits after taxes</c:v>
                      </c:pt>
                      <c:pt idx="12">
                        <c:v>Earning available for common stockholders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'Common size analysis'!$B$4:$B$17</c15:sqref>
                        </c15:fullRef>
                        <c15:formulaRef>
                          <c15:sqref>('Common size analysis'!$B$4,'Common size analysis'!$B$6:$B$17)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FC66-44FF-BA80-64729E10492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'Common size analysis'!$C$1:$C$3</c15:sqref>
                        </c15:formulaRef>
                      </c:ext>
                    </c:extLst>
                    <c:strCache>
                      <c:ptCount val="3"/>
                      <c:pt idx="0">
                        <c:v>Egypt Aluminum Company</c:v>
                      </c:pt>
                      <c:pt idx="1">
                        <c:v>Income Statement (in thousands)</c:v>
                      </c:pt>
                      <c:pt idx="2">
                        <c:v>for the year ended 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'Common size analysis'!$A$4:$A$17</c15:sqref>
                        </c15:fullRef>
                        <c15:formulaRef>
                          <c15:sqref>('Common size analysis'!$A$4,'Common size analysis'!$A$6:$A$17)</c15:sqref>
                        </c15:formulaRef>
                      </c:ext>
                    </c:extLst>
                    <c:strCache>
                      <c:ptCount val="13"/>
                      <c:pt idx="0">
                        <c:v>Sales revenue</c:v>
                      </c:pt>
                      <c:pt idx="1">
                        <c:v>Gross profit</c:v>
                      </c:pt>
                      <c:pt idx="2">
                        <c:v>Less: operating expenses</c:v>
                      </c:pt>
                      <c:pt idx="3">
                        <c:v>Selling expense</c:v>
                      </c:pt>
                      <c:pt idx="4">
                        <c:v>General and administrative expenses</c:v>
                      </c:pt>
                      <c:pt idx="5">
                        <c:v>Depreciation expense</c:v>
                      </c:pt>
                      <c:pt idx="6">
                        <c:v>Total operating expense</c:v>
                      </c:pt>
                      <c:pt idx="7">
                        <c:v>Operating profits(EPIT)</c:v>
                      </c:pt>
                      <c:pt idx="8">
                        <c:v>Less:interest expense</c:v>
                      </c:pt>
                      <c:pt idx="9">
                        <c:v>Net profits before taxes</c:v>
                      </c:pt>
                      <c:pt idx="10">
                        <c:v>Less: Taxes</c:v>
                      </c:pt>
                      <c:pt idx="11">
                        <c:v>Net profits after taxes</c:v>
                      </c:pt>
                      <c:pt idx="12">
                        <c:v>Earning available for common stockholders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'Common size analysis'!$C$4:$C$17</c15:sqref>
                        </c15:fullRef>
                        <c15:formulaRef>
                          <c15:sqref>('Common size analysis'!$C$4,'Common size analysis'!$C$6:$C$17)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FC66-44FF-BA80-64729E10492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'Common size analysis'!$D$1:$D$3</c15:sqref>
                        </c15:formulaRef>
                      </c:ext>
                    </c:extLst>
                    <c:strCache>
                      <c:ptCount val="3"/>
                      <c:pt idx="0">
                        <c:v>Egypt Aluminum Company</c:v>
                      </c:pt>
                      <c:pt idx="1">
                        <c:v>Income Statement (in thousands)</c:v>
                      </c:pt>
                      <c:pt idx="2">
                        <c:v>for the year ended 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'Common size analysis'!$A$4:$A$17</c15:sqref>
                        </c15:fullRef>
                        <c15:formulaRef>
                          <c15:sqref>('Common size analysis'!$A$4,'Common size analysis'!$A$6:$A$17)</c15:sqref>
                        </c15:formulaRef>
                      </c:ext>
                    </c:extLst>
                    <c:strCache>
                      <c:ptCount val="13"/>
                      <c:pt idx="0">
                        <c:v>Sales revenue</c:v>
                      </c:pt>
                      <c:pt idx="1">
                        <c:v>Gross profit</c:v>
                      </c:pt>
                      <c:pt idx="2">
                        <c:v>Less: operating expenses</c:v>
                      </c:pt>
                      <c:pt idx="3">
                        <c:v>Selling expense</c:v>
                      </c:pt>
                      <c:pt idx="4">
                        <c:v>General and administrative expenses</c:v>
                      </c:pt>
                      <c:pt idx="5">
                        <c:v>Depreciation expense</c:v>
                      </c:pt>
                      <c:pt idx="6">
                        <c:v>Total operating expense</c:v>
                      </c:pt>
                      <c:pt idx="7">
                        <c:v>Operating profits(EPIT)</c:v>
                      </c:pt>
                      <c:pt idx="8">
                        <c:v>Less:interest expense</c:v>
                      </c:pt>
                      <c:pt idx="9">
                        <c:v>Net profits before taxes</c:v>
                      </c:pt>
                      <c:pt idx="10">
                        <c:v>Less: Taxes</c:v>
                      </c:pt>
                      <c:pt idx="11">
                        <c:v>Net profits after taxes</c:v>
                      </c:pt>
                      <c:pt idx="12">
                        <c:v>Earning available for common stockholders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'Common size analysis'!$D$4:$D$17</c15:sqref>
                        </c15:fullRef>
                        <c15:formulaRef>
                          <c15:sqref>('Common size analysis'!$D$4,'Common size analysis'!$D$6:$D$17)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FC66-44FF-BA80-64729E10492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'Common size analysis'!$E$1:$E$3</c15:sqref>
                        </c15:formulaRef>
                      </c:ext>
                    </c:extLst>
                    <c:strCache>
                      <c:ptCount val="3"/>
                      <c:pt idx="0">
                        <c:v>Egypt Aluminum Company</c:v>
                      </c:pt>
                      <c:pt idx="1">
                        <c:v>Income Statement (in thousands)</c:v>
                      </c:pt>
                      <c:pt idx="2">
                        <c:v>for the year ended 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'Common size analysis'!$A$4:$A$17</c15:sqref>
                        </c15:fullRef>
                        <c15:formulaRef>
                          <c15:sqref>('Common size analysis'!$A$4,'Common size analysis'!$A$6:$A$17)</c15:sqref>
                        </c15:formulaRef>
                      </c:ext>
                    </c:extLst>
                    <c:strCache>
                      <c:ptCount val="13"/>
                      <c:pt idx="0">
                        <c:v>Sales revenue</c:v>
                      </c:pt>
                      <c:pt idx="1">
                        <c:v>Gross profit</c:v>
                      </c:pt>
                      <c:pt idx="2">
                        <c:v>Less: operating expenses</c:v>
                      </c:pt>
                      <c:pt idx="3">
                        <c:v>Selling expense</c:v>
                      </c:pt>
                      <c:pt idx="4">
                        <c:v>General and administrative expenses</c:v>
                      </c:pt>
                      <c:pt idx="5">
                        <c:v>Depreciation expense</c:v>
                      </c:pt>
                      <c:pt idx="6">
                        <c:v>Total operating expense</c:v>
                      </c:pt>
                      <c:pt idx="7">
                        <c:v>Operating profits(EPIT)</c:v>
                      </c:pt>
                      <c:pt idx="8">
                        <c:v>Less:interest expense</c:v>
                      </c:pt>
                      <c:pt idx="9">
                        <c:v>Net profits before taxes</c:v>
                      </c:pt>
                      <c:pt idx="10">
                        <c:v>Less: Taxes</c:v>
                      </c:pt>
                      <c:pt idx="11">
                        <c:v>Net profits after taxes</c:v>
                      </c:pt>
                      <c:pt idx="12">
                        <c:v>Earning available for common stockholders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'Common size analysis'!$E$4:$E$17</c15:sqref>
                        </c15:fullRef>
                        <c15:formulaRef>
                          <c15:sqref>('Common size analysis'!$E$4,'Common size analysis'!$E$6:$E$17)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FC66-44FF-BA80-64729E10492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'Common size analysis'!$F$1:$F$3</c15:sqref>
                        </c15:formulaRef>
                      </c:ext>
                    </c:extLst>
                    <c:strCache>
                      <c:ptCount val="3"/>
                      <c:pt idx="0">
                        <c:v>31-Dec-24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'Common size analysis'!$A$4:$A$17</c15:sqref>
                        </c15:fullRef>
                        <c15:formulaRef>
                          <c15:sqref>('Common size analysis'!$A$4,'Common size analysis'!$A$6:$A$17)</c15:sqref>
                        </c15:formulaRef>
                      </c:ext>
                    </c:extLst>
                    <c:strCache>
                      <c:ptCount val="13"/>
                      <c:pt idx="0">
                        <c:v>Sales revenue</c:v>
                      </c:pt>
                      <c:pt idx="1">
                        <c:v>Gross profit</c:v>
                      </c:pt>
                      <c:pt idx="2">
                        <c:v>Less: operating expenses</c:v>
                      </c:pt>
                      <c:pt idx="3">
                        <c:v>Selling expense</c:v>
                      </c:pt>
                      <c:pt idx="4">
                        <c:v>General and administrative expenses</c:v>
                      </c:pt>
                      <c:pt idx="5">
                        <c:v>Depreciation expense</c:v>
                      </c:pt>
                      <c:pt idx="6">
                        <c:v>Total operating expense</c:v>
                      </c:pt>
                      <c:pt idx="7">
                        <c:v>Operating profits(EPIT)</c:v>
                      </c:pt>
                      <c:pt idx="8">
                        <c:v>Less:interest expense</c:v>
                      </c:pt>
                      <c:pt idx="9">
                        <c:v>Net profits before taxes</c:v>
                      </c:pt>
                      <c:pt idx="10">
                        <c:v>Less: Taxes</c:v>
                      </c:pt>
                      <c:pt idx="11">
                        <c:v>Net profits after taxes</c:v>
                      </c:pt>
                      <c:pt idx="12">
                        <c:v>Earning available for common stockholders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'Common size analysis'!$F$4:$F$17</c15:sqref>
                        </c15:fullRef>
                        <c15:formulaRef>
                          <c15:sqref>('Common size analysis'!$F$4,'Common size analysis'!$F$6:$F$17)</c15:sqref>
                        </c15:formulaRef>
                      </c:ext>
                    </c:extLst>
                    <c:numCache>
                      <c:formatCode>_-* #,##0.00\ [$ج.م.‏-C01]_-;\-* #,##0.00\ [$ج.م.‏-C01]_-;_-* "-"??\ [$ج.م.‏-C01]_-;_-@_-</c:formatCode>
                      <c:ptCount val="13"/>
                      <c:pt idx="0">
                        <c:v>13600123</c:v>
                      </c:pt>
                      <c:pt idx="1">
                        <c:v>4486685</c:v>
                      </c:pt>
                      <c:pt idx="3">
                        <c:v>515478</c:v>
                      </c:pt>
                      <c:pt idx="4">
                        <c:v>2092459</c:v>
                      </c:pt>
                      <c:pt idx="5">
                        <c:v>173669</c:v>
                      </c:pt>
                      <c:pt idx="6">
                        <c:v>2781606</c:v>
                      </c:pt>
                      <c:pt idx="7">
                        <c:v>1705079</c:v>
                      </c:pt>
                      <c:pt idx="8">
                        <c:v>411752</c:v>
                      </c:pt>
                      <c:pt idx="9">
                        <c:v>1293327</c:v>
                      </c:pt>
                      <c:pt idx="10">
                        <c:v>34824</c:v>
                      </c:pt>
                      <c:pt idx="11">
                        <c:v>1258503</c:v>
                      </c:pt>
                      <c:pt idx="12">
                        <c:v>1290672.419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FC66-44FF-BA80-64729E10492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'Common size analysis'!$H$1:$H$3</c15:sqref>
                        </c15:formulaRef>
                      </c:ext>
                    </c:extLst>
                    <c:strCache>
                      <c:ptCount val="3"/>
                      <c:pt idx="0">
                        <c:v>31-Dec-23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'Common size analysis'!$A$4:$A$17</c15:sqref>
                        </c15:fullRef>
                        <c15:formulaRef>
                          <c15:sqref>('Common size analysis'!$A$4,'Common size analysis'!$A$6:$A$17)</c15:sqref>
                        </c15:formulaRef>
                      </c:ext>
                    </c:extLst>
                    <c:strCache>
                      <c:ptCount val="13"/>
                      <c:pt idx="0">
                        <c:v>Sales revenue</c:v>
                      </c:pt>
                      <c:pt idx="1">
                        <c:v>Gross profit</c:v>
                      </c:pt>
                      <c:pt idx="2">
                        <c:v>Less: operating expenses</c:v>
                      </c:pt>
                      <c:pt idx="3">
                        <c:v>Selling expense</c:v>
                      </c:pt>
                      <c:pt idx="4">
                        <c:v>General and administrative expenses</c:v>
                      </c:pt>
                      <c:pt idx="5">
                        <c:v>Depreciation expense</c:v>
                      </c:pt>
                      <c:pt idx="6">
                        <c:v>Total operating expense</c:v>
                      </c:pt>
                      <c:pt idx="7">
                        <c:v>Operating profits(EPIT)</c:v>
                      </c:pt>
                      <c:pt idx="8">
                        <c:v>Less:interest expense</c:v>
                      </c:pt>
                      <c:pt idx="9">
                        <c:v>Net profits before taxes</c:v>
                      </c:pt>
                      <c:pt idx="10">
                        <c:v>Less: Taxes</c:v>
                      </c:pt>
                      <c:pt idx="11">
                        <c:v>Net profits after taxes</c:v>
                      </c:pt>
                      <c:pt idx="12">
                        <c:v>Earning available for common stockholders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'Common size analysis'!$H$4:$H$17</c15:sqref>
                        </c15:fullRef>
                        <c15:formulaRef>
                          <c15:sqref>('Common size analysis'!$H$4,'Common size analysis'!$H$6:$H$17)</c15:sqref>
                        </c15:formulaRef>
                      </c:ext>
                    </c:extLst>
                    <c:numCache>
                      <c:formatCode>_-* #,##0.00\ [$ج.م.‏-C01]_-;\-* #,##0.00\ [$ج.م.‏-C01]_-;_-* "-"??\ [$ج.م.‏-C01]_-;_-@_-</c:formatCode>
                      <c:ptCount val="13"/>
                      <c:pt idx="0">
                        <c:v>7717121</c:v>
                      </c:pt>
                      <c:pt idx="1">
                        <c:v>2631171</c:v>
                      </c:pt>
                      <c:pt idx="3">
                        <c:v>264254</c:v>
                      </c:pt>
                      <c:pt idx="4">
                        <c:v>1167865</c:v>
                      </c:pt>
                      <c:pt idx="5">
                        <c:v>174799</c:v>
                      </c:pt>
                      <c:pt idx="6">
                        <c:v>1606918</c:v>
                      </c:pt>
                      <c:pt idx="7">
                        <c:v>1024253</c:v>
                      </c:pt>
                      <c:pt idx="8">
                        <c:v>166719</c:v>
                      </c:pt>
                      <c:pt idx="9">
                        <c:v>857534</c:v>
                      </c:pt>
                      <c:pt idx="10">
                        <c:v>31701</c:v>
                      </c:pt>
                      <c:pt idx="11">
                        <c:v>825833</c:v>
                      </c:pt>
                      <c:pt idx="12">
                        <c:v>856061.33900000004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FC66-44FF-BA80-64729E104921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'Common size analysis'!$J$1:$J$3</c15:sqref>
                        </c15:formulaRef>
                      </c:ext>
                    </c:extLst>
                    <c:strCache>
                      <c:ptCount val="3"/>
                      <c:pt idx="0">
                        <c:v>31-Dec-22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'Common size analysis'!$A$4:$A$17</c15:sqref>
                        </c15:fullRef>
                        <c15:formulaRef>
                          <c15:sqref>('Common size analysis'!$A$4,'Common size analysis'!$A$6:$A$17)</c15:sqref>
                        </c15:formulaRef>
                      </c:ext>
                    </c:extLst>
                    <c:strCache>
                      <c:ptCount val="13"/>
                      <c:pt idx="0">
                        <c:v>Sales revenue</c:v>
                      </c:pt>
                      <c:pt idx="1">
                        <c:v>Gross profit</c:v>
                      </c:pt>
                      <c:pt idx="2">
                        <c:v>Less: operating expenses</c:v>
                      </c:pt>
                      <c:pt idx="3">
                        <c:v>Selling expense</c:v>
                      </c:pt>
                      <c:pt idx="4">
                        <c:v>General and administrative expenses</c:v>
                      </c:pt>
                      <c:pt idx="5">
                        <c:v>Depreciation expense</c:v>
                      </c:pt>
                      <c:pt idx="6">
                        <c:v>Total operating expense</c:v>
                      </c:pt>
                      <c:pt idx="7">
                        <c:v>Operating profits(EPIT)</c:v>
                      </c:pt>
                      <c:pt idx="8">
                        <c:v>Less:interest expense</c:v>
                      </c:pt>
                      <c:pt idx="9">
                        <c:v>Net profits before taxes</c:v>
                      </c:pt>
                      <c:pt idx="10">
                        <c:v>Less: Taxes</c:v>
                      </c:pt>
                      <c:pt idx="11">
                        <c:v>Net profits after taxes</c:v>
                      </c:pt>
                      <c:pt idx="12">
                        <c:v>Earning available for common stockholders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'Common size analysis'!$J$4:$J$17</c15:sqref>
                        </c15:fullRef>
                        <c15:formulaRef>
                          <c15:sqref>('Common size analysis'!$J$4,'Common size analysis'!$J$6:$J$17)</c15:sqref>
                        </c15:formulaRef>
                      </c:ext>
                    </c:extLst>
                    <c:numCache>
                      <c:formatCode>_-* #,##0\ [$ج.م.‏-C01]_-;\-* #,##0\ [$ج.م.‏-C01]_-;_-* "-"??\ [$ج.م.‏-C01]_-;_-@_-</c:formatCode>
                      <c:ptCount val="13"/>
                      <c:pt idx="0">
                        <c:v>5207530</c:v>
                      </c:pt>
                      <c:pt idx="1">
                        <c:v>2014107</c:v>
                      </c:pt>
                      <c:pt idx="4">
                        <c:v>886087</c:v>
                      </c:pt>
                      <c:pt idx="5">
                        <c:v>105251</c:v>
                      </c:pt>
                      <c:pt idx="6">
                        <c:v>991338</c:v>
                      </c:pt>
                      <c:pt idx="7">
                        <c:v>1022769</c:v>
                      </c:pt>
                      <c:pt idx="8">
                        <c:v>229976</c:v>
                      </c:pt>
                      <c:pt idx="9">
                        <c:v>792793</c:v>
                      </c:pt>
                      <c:pt idx="10">
                        <c:v>37672</c:v>
                      </c:pt>
                      <c:pt idx="11">
                        <c:v>755121</c:v>
                      </c:pt>
                      <c:pt idx="12">
                        <c:v>717767.74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FC66-44FF-BA80-64729E104921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'Common size analysis'!$L$1:$L$3</c15:sqref>
                        </c15:formulaRef>
                      </c:ext>
                    </c:extLst>
                    <c:strCache>
                      <c:ptCount val="3"/>
                      <c:pt idx="0">
                        <c:v>31-Dec-21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'Common size analysis'!$A$4:$A$17</c15:sqref>
                        </c15:fullRef>
                        <c15:formulaRef>
                          <c15:sqref>('Common size analysis'!$A$4,'Common size analysis'!$A$6:$A$17)</c15:sqref>
                        </c15:formulaRef>
                      </c:ext>
                    </c:extLst>
                    <c:strCache>
                      <c:ptCount val="13"/>
                      <c:pt idx="0">
                        <c:v>Sales revenue</c:v>
                      </c:pt>
                      <c:pt idx="1">
                        <c:v>Gross profit</c:v>
                      </c:pt>
                      <c:pt idx="2">
                        <c:v>Less: operating expenses</c:v>
                      </c:pt>
                      <c:pt idx="3">
                        <c:v>Selling expense</c:v>
                      </c:pt>
                      <c:pt idx="4">
                        <c:v>General and administrative expenses</c:v>
                      </c:pt>
                      <c:pt idx="5">
                        <c:v>Depreciation expense</c:v>
                      </c:pt>
                      <c:pt idx="6">
                        <c:v>Total operating expense</c:v>
                      </c:pt>
                      <c:pt idx="7">
                        <c:v>Operating profits(EPIT)</c:v>
                      </c:pt>
                      <c:pt idx="8">
                        <c:v>Less:interest expense</c:v>
                      </c:pt>
                      <c:pt idx="9">
                        <c:v>Net profits before taxes</c:v>
                      </c:pt>
                      <c:pt idx="10">
                        <c:v>Less: Taxes</c:v>
                      </c:pt>
                      <c:pt idx="11">
                        <c:v>Net profits after taxes</c:v>
                      </c:pt>
                      <c:pt idx="12">
                        <c:v>Earning available for common stockholders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'Common size analysis'!$L$4:$L$17</c15:sqref>
                        </c15:fullRef>
                        <c15:formulaRef>
                          <c15:sqref>('Common size analysis'!$L$4,'Common size analysis'!$L$6:$L$17)</c15:sqref>
                        </c15:formulaRef>
                      </c:ext>
                    </c:extLst>
                    <c:numCache>
                      <c:formatCode>_-* #,##0\ [$ج.م.‏-C01]_-;\-* #,##0\ [$ج.م.‏-C01]_-;_-* "-"??\ [$ج.م.‏-C01]_-;_-@_-</c:formatCode>
                      <c:ptCount val="13"/>
                      <c:pt idx="0">
                        <c:v>6224424</c:v>
                      </c:pt>
                      <c:pt idx="1">
                        <c:v>2329022</c:v>
                      </c:pt>
                      <c:pt idx="4">
                        <c:v>936434</c:v>
                      </c:pt>
                      <c:pt idx="5">
                        <c:v>80340</c:v>
                      </c:pt>
                      <c:pt idx="6">
                        <c:v>1016774</c:v>
                      </c:pt>
                      <c:pt idx="7">
                        <c:v>1312248</c:v>
                      </c:pt>
                      <c:pt idx="8">
                        <c:v>307504</c:v>
                      </c:pt>
                      <c:pt idx="9">
                        <c:v>1004744</c:v>
                      </c:pt>
                      <c:pt idx="10">
                        <c:v>98518</c:v>
                      </c:pt>
                      <c:pt idx="11">
                        <c:v>906226</c:v>
                      </c:pt>
                      <c:pt idx="12">
                        <c:v>906226.31200000003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FC66-44FF-BA80-64729E104921}"/>
                  </c:ext>
                </c:extLst>
              </c15:ser>
            </c15:filteredBarSeries>
          </c:ext>
        </c:extLst>
      </c:barChart>
      <c:catAx>
        <c:axId val="103838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391599"/>
        <c:crosses val="autoZero"/>
        <c:auto val="1"/>
        <c:lblAlgn val="ctr"/>
        <c:lblOffset val="100"/>
        <c:noMultiLvlLbl val="0"/>
      </c:catAx>
      <c:valAx>
        <c:axId val="103839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38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Balance</a:t>
            </a:r>
            <a:r>
              <a:rPr lang="en-US" baseline="0"/>
              <a:t> Sheet </a:t>
            </a:r>
          </a:p>
          <a:p>
            <a:pPr>
              <a:defRPr/>
            </a:pPr>
            <a:r>
              <a:rPr lang="en-US" baseline="0"/>
              <a:t>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'Common size analysis'!$G$44:$G$46</c:f>
              <c:strCache>
                <c:ptCount val="3"/>
                <c:pt idx="0">
                  <c:v>At December 31, 2024</c:v>
                </c:pt>
                <c:pt idx="2">
                  <c:v>ANA24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'Common size analysis'!$A$47:$A$83</c15:sqref>
                  </c15:fullRef>
                </c:ext>
              </c:extLst>
              <c:f>('Common size analysis'!$A$48,'Common size analysis'!$A$50,'Common size analysis'!$A$52,'Common size analysis'!$A$56:$A$57,'Common size analysis'!$A$59:$A$61,'Common size analysis'!$A$64:$A$67,'Common size analysis'!$A$71,'Common size analysis'!$A$73,'Common size analysis'!$A$75,'Common size analysis'!$A$78:$A$79,'Common size analysis'!$A$82:$A$83)</c:f>
              <c:strCache>
                <c:ptCount val="19"/>
                <c:pt idx="0">
                  <c:v>Cash and cash equivalents</c:v>
                </c:pt>
                <c:pt idx="1">
                  <c:v>Accounts receivables</c:v>
                </c:pt>
                <c:pt idx="2">
                  <c:v>Inventory</c:v>
                </c:pt>
                <c:pt idx="3">
                  <c:v>Investment property</c:v>
                </c:pt>
                <c:pt idx="4">
                  <c:v>Property, plant and equipment</c:v>
                </c:pt>
                <c:pt idx="5">
                  <c:v>Deferred tax assets</c:v>
                </c:pt>
                <c:pt idx="6">
                  <c:v>Other assets</c:v>
                </c:pt>
                <c:pt idx="7">
                  <c:v>Total assets</c:v>
                </c:pt>
                <c:pt idx="8">
                  <c:v>Customer Deposits</c:v>
                </c:pt>
                <c:pt idx="9">
                  <c:v>Loans and borrowings</c:v>
                </c:pt>
                <c:pt idx="10">
                  <c:v>Creditors and other credit balances</c:v>
                </c:pt>
                <c:pt idx="11">
                  <c:v>Accounts payable - customers credit balance at fair value through profit and loss</c:v>
                </c:pt>
                <c:pt idx="12">
                  <c:v>Current tax liability</c:v>
                </c:pt>
                <c:pt idx="13">
                  <c:v>Total liabilities</c:v>
                </c:pt>
                <c:pt idx="14">
                  <c:v>Share capital</c:v>
                </c:pt>
                <c:pt idx="15">
                  <c:v>Other reserves</c:v>
                </c:pt>
                <c:pt idx="16">
                  <c:v>Retained earnings</c:v>
                </c:pt>
                <c:pt idx="17">
                  <c:v>Total equity</c:v>
                </c:pt>
                <c:pt idx="18">
                  <c:v>Total equity and liabilities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'Common size analysis'!$G$47:$G$83</c15:sqref>
                  </c15:fullRef>
                </c:ext>
              </c:extLst>
              <c:f>('Common size analysis'!$G$48,'Common size analysis'!$G$50,'Common size analysis'!$G$52,'Common size analysis'!$G$56:$G$57,'Common size analysis'!$G$59:$G$61,'Common size analysis'!$G$64:$G$67,'Common size analysis'!$G$71,'Common size analysis'!$G$73,'Common size analysis'!$G$75,'Common size analysis'!$G$78:$G$79,'Common size analysis'!$G$82:$G$83)</c:f>
              <c:numCache>
                <c:formatCode>0.0%</c:formatCode>
                <c:ptCount val="19"/>
                <c:pt idx="0">
                  <c:v>0.27579824081445126</c:v>
                </c:pt>
                <c:pt idx="1">
                  <c:v>8.4404516902704188E-2</c:v>
                </c:pt>
                <c:pt idx="2">
                  <c:v>6.6215342552329387E-2</c:v>
                </c:pt>
                <c:pt idx="3">
                  <c:v>4.831109142938935E-4</c:v>
                </c:pt>
                <c:pt idx="4">
                  <c:v>1.592281304232622E-2</c:v>
                </c:pt>
                <c:pt idx="5">
                  <c:v>1.2516801633121763E-3</c:v>
                </c:pt>
                <c:pt idx="6">
                  <c:v>3.5227910836634846E-2</c:v>
                </c:pt>
                <c:pt idx="7">
                  <c:v>1</c:v>
                </c:pt>
                <c:pt idx="8">
                  <c:v>0.35963803759012059</c:v>
                </c:pt>
                <c:pt idx="9">
                  <c:v>6.1481510563571734E-2</c:v>
                </c:pt>
                <c:pt idx="10">
                  <c:v>5.9560855319986644E-2</c:v>
                </c:pt>
                <c:pt idx="11">
                  <c:v>4.2281320553394473E-2</c:v>
                </c:pt>
                <c:pt idx="12">
                  <c:v>5.4618668605866949E-3</c:v>
                </c:pt>
                <c:pt idx="13">
                  <c:v>0.78933914950721618</c:v>
                </c:pt>
                <c:pt idx="14">
                  <c:v>3.9052290529161232E-2</c:v>
                </c:pt>
                <c:pt idx="15">
                  <c:v>6.3145672830019942E-2</c:v>
                </c:pt>
                <c:pt idx="16">
                  <c:v>6.7255928240956636E-2</c:v>
                </c:pt>
                <c:pt idx="17">
                  <c:v>0.21066085049278377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7CF-4D5F-82FA-F7D6D52F8AF8}"/>
            </c:ext>
          </c:extLst>
        </c:ser>
        <c:ser>
          <c:idx val="7"/>
          <c:order val="7"/>
          <c:tx>
            <c:strRef>
              <c:f>'Common size analysis'!$I$44:$I$46</c:f>
              <c:strCache>
                <c:ptCount val="3"/>
                <c:pt idx="0">
                  <c:v>At December 31, 2023</c:v>
                </c:pt>
                <c:pt idx="2">
                  <c:v>ANA23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'Common size analysis'!$A$47:$A$83</c15:sqref>
                  </c15:fullRef>
                </c:ext>
              </c:extLst>
              <c:f>('Common size analysis'!$A$48,'Common size analysis'!$A$50,'Common size analysis'!$A$52,'Common size analysis'!$A$56:$A$57,'Common size analysis'!$A$59:$A$61,'Common size analysis'!$A$64:$A$67,'Common size analysis'!$A$71,'Common size analysis'!$A$73,'Common size analysis'!$A$75,'Common size analysis'!$A$78:$A$79,'Common size analysis'!$A$82:$A$83)</c:f>
              <c:strCache>
                <c:ptCount val="19"/>
                <c:pt idx="0">
                  <c:v>Cash and cash equivalents</c:v>
                </c:pt>
                <c:pt idx="1">
                  <c:v>Accounts receivables</c:v>
                </c:pt>
                <c:pt idx="2">
                  <c:v>Inventory</c:v>
                </c:pt>
                <c:pt idx="3">
                  <c:v>Investment property</c:v>
                </c:pt>
                <c:pt idx="4">
                  <c:v>Property, plant and equipment</c:v>
                </c:pt>
                <c:pt idx="5">
                  <c:v>Deferred tax assets</c:v>
                </c:pt>
                <c:pt idx="6">
                  <c:v>Other assets</c:v>
                </c:pt>
                <c:pt idx="7">
                  <c:v>Total assets</c:v>
                </c:pt>
                <c:pt idx="8">
                  <c:v>Customer Deposits</c:v>
                </c:pt>
                <c:pt idx="9">
                  <c:v>Loans and borrowings</c:v>
                </c:pt>
                <c:pt idx="10">
                  <c:v>Creditors and other credit balances</c:v>
                </c:pt>
                <c:pt idx="11">
                  <c:v>Accounts payable - customers credit balance at fair value through profit and loss</c:v>
                </c:pt>
                <c:pt idx="12">
                  <c:v>Current tax liability</c:v>
                </c:pt>
                <c:pt idx="13">
                  <c:v>Total liabilities</c:v>
                </c:pt>
                <c:pt idx="14">
                  <c:v>Share capital</c:v>
                </c:pt>
                <c:pt idx="15">
                  <c:v>Other reserves</c:v>
                </c:pt>
                <c:pt idx="16">
                  <c:v>Retained earnings</c:v>
                </c:pt>
                <c:pt idx="17">
                  <c:v>Total equity</c:v>
                </c:pt>
                <c:pt idx="18">
                  <c:v>Total equity and liabilities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'Common size analysis'!$I$47:$I$83</c15:sqref>
                  </c15:fullRef>
                </c:ext>
              </c:extLst>
              <c:f>('Common size analysis'!$I$48,'Common size analysis'!$I$50,'Common size analysis'!$I$52,'Common size analysis'!$I$56:$I$57,'Common size analysis'!$I$59:$I$61,'Common size analysis'!$I$64:$I$67,'Common size analysis'!$I$71,'Common size analysis'!$I$73,'Common size analysis'!$I$75,'Common size analysis'!$I$78:$I$79,'Common size analysis'!$I$82:$I$83)</c:f>
              <c:numCache>
                <c:formatCode>0.0%</c:formatCode>
                <c:ptCount val="19"/>
                <c:pt idx="0">
                  <c:v>0.26455546076515896</c:v>
                </c:pt>
                <c:pt idx="1">
                  <c:v>5.5540167291105377E-2</c:v>
                </c:pt>
                <c:pt idx="2">
                  <c:v>9.5541854094251186E-2</c:v>
                </c:pt>
                <c:pt idx="3">
                  <c:v>8.0961465325006868E-4</c:v>
                </c:pt>
                <c:pt idx="4">
                  <c:v>1.7863748959856676E-2</c:v>
                </c:pt>
                <c:pt idx="5">
                  <c:v>1.0369114591746228E-3</c:v>
                </c:pt>
                <c:pt idx="6">
                  <c:v>4.119316173088905E-2</c:v>
                </c:pt>
                <c:pt idx="7">
                  <c:v>1</c:v>
                </c:pt>
                <c:pt idx="8">
                  <c:v>0.41533718952084786</c:v>
                </c:pt>
                <c:pt idx="9">
                  <c:v>6.6695354788248784E-2</c:v>
                </c:pt>
                <c:pt idx="10">
                  <c:v>5.0995395955957541E-2</c:v>
                </c:pt>
                <c:pt idx="11">
                  <c:v>5.5804523893824122E-3</c:v>
                </c:pt>
                <c:pt idx="12">
                  <c:v>5.2381045188639288E-3</c:v>
                </c:pt>
                <c:pt idx="13">
                  <c:v>0.77525391374585761</c:v>
                </c:pt>
                <c:pt idx="14">
                  <c:v>5.9863547764040882E-2</c:v>
                </c:pt>
                <c:pt idx="15">
                  <c:v>3.9726576461251051E-2</c:v>
                </c:pt>
                <c:pt idx="16">
                  <c:v>7.0005578820052164E-2</c:v>
                </c:pt>
                <c:pt idx="17">
                  <c:v>0.22474608625414241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7CF-4D5F-82FA-F7D6D52F8AF8}"/>
            </c:ext>
          </c:extLst>
        </c:ser>
        <c:ser>
          <c:idx val="9"/>
          <c:order val="9"/>
          <c:tx>
            <c:strRef>
              <c:f>'Common size analysis'!$K$44:$K$46</c:f>
              <c:strCache>
                <c:ptCount val="3"/>
                <c:pt idx="0">
                  <c:v>At December 31, 2022</c:v>
                </c:pt>
                <c:pt idx="2">
                  <c:v>ANA22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'Common size analysis'!$A$47:$A$83</c15:sqref>
                  </c15:fullRef>
                </c:ext>
              </c:extLst>
              <c:f>('Common size analysis'!$A$48,'Common size analysis'!$A$50,'Common size analysis'!$A$52,'Common size analysis'!$A$56:$A$57,'Common size analysis'!$A$59:$A$61,'Common size analysis'!$A$64:$A$67,'Common size analysis'!$A$71,'Common size analysis'!$A$73,'Common size analysis'!$A$75,'Common size analysis'!$A$78:$A$79,'Common size analysis'!$A$82:$A$83)</c:f>
              <c:strCache>
                <c:ptCount val="19"/>
                <c:pt idx="0">
                  <c:v>Cash and cash equivalents</c:v>
                </c:pt>
                <c:pt idx="1">
                  <c:v>Accounts receivables</c:v>
                </c:pt>
                <c:pt idx="2">
                  <c:v>Inventory</c:v>
                </c:pt>
                <c:pt idx="3">
                  <c:v>Investment property</c:v>
                </c:pt>
                <c:pt idx="4">
                  <c:v>Property, plant and equipment</c:v>
                </c:pt>
                <c:pt idx="5">
                  <c:v>Deferred tax assets</c:v>
                </c:pt>
                <c:pt idx="6">
                  <c:v>Other assets</c:v>
                </c:pt>
                <c:pt idx="7">
                  <c:v>Total assets</c:v>
                </c:pt>
                <c:pt idx="8">
                  <c:v>Customer Deposits</c:v>
                </c:pt>
                <c:pt idx="9">
                  <c:v>Loans and borrowings</c:v>
                </c:pt>
                <c:pt idx="10">
                  <c:v>Creditors and other credit balances</c:v>
                </c:pt>
                <c:pt idx="11">
                  <c:v>Accounts payable - customers credit balance at fair value through profit and loss</c:v>
                </c:pt>
                <c:pt idx="12">
                  <c:v>Current tax liability</c:v>
                </c:pt>
                <c:pt idx="13">
                  <c:v>Total liabilities</c:v>
                </c:pt>
                <c:pt idx="14">
                  <c:v>Share capital</c:v>
                </c:pt>
                <c:pt idx="15">
                  <c:v>Other reserves</c:v>
                </c:pt>
                <c:pt idx="16">
                  <c:v>Retained earnings</c:v>
                </c:pt>
                <c:pt idx="17">
                  <c:v>Total equity</c:v>
                </c:pt>
                <c:pt idx="18">
                  <c:v>Total equity and liabilities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'Common size analysis'!$K$47:$K$83</c15:sqref>
                  </c15:fullRef>
                </c:ext>
              </c:extLst>
              <c:f>('Common size analysis'!$K$48,'Common size analysis'!$K$50,'Common size analysis'!$K$52,'Common size analysis'!$K$56:$K$57,'Common size analysis'!$K$59:$K$61,'Common size analysis'!$K$64:$K$67,'Common size analysis'!$K$71,'Common size analysis'!$K$73,'Common size analysis'!$K$75,'Common size analysis'!$K$78:$K$79,'Common size analysis'!$K$82:$K$83)</c:f>
              <c:numCache>
                <c:formatCode>0.0%</c:formatCode>
                <c:ptCount val="19"/>
                <c:pt idx="0">
                  <c:v>0.2484538421527297</c:v>
                </c:pt>
                <c:pt idx="1">
                  <c:v>5.2783219043692597E-2</c:v>
                </c:pt>
                <c:pt idx="2">
                  <c:v>0.13344879583642133</c:v>
                </c:pt>
                <c:pt idx="3">
                  <c:v>1.127712646027419E-3</c:v>
                </c:pt>
                <c:pt idx="4">
                  <c:v>1.5506109839450499E-2</c:v>
                </c:pt>
                <c:pt idx="5">
                  <c:v>6.1119067801550817E-4</c:v>
                </c:pt>
                <c:pt idx="6">
                  <c:v>3.224267551809086E-2</c:v>
                </c:pt>
                <c:pt idx="7">
                  <c:v>1</c:v>
                </c:pt>
                <c:pt idx="8">
                  <c:v>0.45616891117356839</c:v>
                </c:pt>
                <c:pt idx="9">
                  <c:v>5.1260787302244072E-2</c:v>
                </c:pt>
                <c:pt idx="10">
                  <c:v>4.3315435130619626E-2</c:v>
                </c:pt>
                <c:pt idx="11">
                  <c:v>3.5924660907708339E-3</c:v>
                </c:pt>
                <c:pt idx="12">
                  <c:v>4.4912855664887685E-3</c:v>
                </c:pt>
                <c:pt idx="13">
                  <c:v>0.78792342315657615</c:v>
                </c:pt>
                <c:pt idx="14">
                  <c:v>5.5335508582721821E-2</c:v>
                </c:pt>
                <c:pt idx="15">
                  <c:v>2.9623443548720922E-2</c:v>
                </c:pt>
                <c:pt idx="16">
                  <c:v>7.0705831212178202E-2</c:v>
                </c:pt>
                <c:pt idx="17">
                  <c:v>0.21207657684342379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7CF-4D5F-82FA-F7D6D52F8AF8}"/>
            </c:ext>
          </c:extLst>
        </c:ser>
        <c:ser>
          <c:idx val="11"/>
          <c:order val="11"/>
          <c:tx>
            <c:strRef>
              <c:f>'Common size analysis'!$M$44:$M$46</c:f>
              <c:strCache>
                <c:ptCount val="3"/>
                <c:pt idx="0">
                  <c:v>At December 31, 2021</c:v>
                </c:pt>
                <c:pt idx="2">
                  <c:v>ANA21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'Common size analysis'!$A$47:$A$83</c15:sqref>
                  </c15:fullRef>
                </c:ext>
              </c:extLst>
              <c:f>('Common size analysis'!$A$48,'Common size analysis'!$A$50,'Common size analysis'!$A$52,'Common size analysis'!$A$56:$A$57,'Common size analysis'!$A$59:$A$61,'Common size analysis'!$A$64:$A$67,'Common size analysis'!$A$71,'Common size analysis'!$A$73,'Common size analysis'!$A$75,'Common size analysis'!$A$78:$A$79,'Common size analysis'!$A$82:$A$83)</c:f>
              <c:strCache>
                <c:ptCount val="19"/>
                <c:pt idx="0">
                  <c:v>Cash and cash equivalents</c:v>
                </c:pt>
                <c:pt idx="1">
                  <c:v>Accounts receivables</c:v>
                </c:pt>
                <c:pt idx="2">
                  <c:v>Inventory</c:v>
                </c:pt>
                <c:pt idx="3">
                  <c:v>Investment property</c:v>
                </c:pt>
                <c:pt idx="4">
                  <c:v>Property, plant and equipment</c:v>
                </c:pt>
                <c:pt idx="5">
                  <c:v>Deferred tax assets</c:v>
                </c:pt>
                <c:pt idx="6">
                  <c:v>Other assets</c:v>
                </c:pt>
                <c:pt idx="7">
                  <c:v>Total assets</c:v>
                </c:pt>
                <c:pt idx="8">
                  <c:v>Customer Deposits</c:v>
                </c:pt>
                <c:pt idx="9">
                  <c:v>Loans and borrowings</c:v>
                </c:pt>
                <c:pt idx="10">
                  <c:v>Creditors and other credit balances</c:v>
                </c:pt>
                <c:pt idx="11">
                  <c:v>Accounts payable - customers credit balance at fair value through profit and loss</c:v>
                </c:pt>
                <c:pt idx="12">
                  <c:v>Current tax liability</c:v>
                </c:pt>
                <c:pt idx="13">
                  <c:v>Total liabilities</c:v>
                </c:pt>
                <c:pt idx="14">
                  <c:v>Share capital</c:v>
                </c:pt>
                <c:pt idx="15">
                  <c:v>Other reserves</c:v>
                </c:pt>
                <c:pt idx="16">
                  <c:v>Retained earnings</c:v>
                </c:pt>
                <c:pt idx="17">
                  <c:v>Total equity</c:v>
                </c:pt>
                <c:pt idx="18">
                  <c:v>Total equity and liabilities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'Common size analysis'!$M$47:$M$83</c15:sqref>
                  </c15:fullRef>
                </c:ext>
              </c:extLst>
              <c:f>('Common size analysis'!$M$48,'Common size analysis'!$M$50,'Common size analysis'!$M$52,'Common size analysis'!$M$56:$M$57,'Common size analysis'!$M$59:$M$61,'Common size analysis'!$M$64:$M$67,'Common size analysis'!$M$71,'Common size analysis'!$M$73,'Common size analysis'!$M$75,'Common size analysis'!$M$78:$M$79,'Common size analysis'!$M$82:$M$83)</c:f>
              <c:numCache>
                <c:formatCode>0.0%</c:formatCode>
                <c:ptCount val="19"/>
                <c:pt idx="0">
                  <c:v>0.31704883663224315</c:v>
                </c:pt>
                <c:pt idx="1">
                  <c:v>5.7619683470016489E-2</c:v>
                </c:pt>
                <c:pt idx="2">
                  <c:v>0.17271891440280301</c:v>
                </c:pt>
                <c:pt idx="3">
                  <c:v>1.2889830527379863E-3</c:v>
                </c:pt>
                <c:pt idx="4">
                  <c:v>1.5631663859526194E-2</c:v>
                </c:pt>
                <c:pt idx="5">
                  <c:v>4.8884843225625407E-4</c:v>
                </c:pt>
                <c:pt idx="6">
                  <c:v>2.6330802162859299E-2</c:v>
                </c:pt>
                <c:pt idx="7">
                  <c:v>1</c:v>
                </c:pt>
                <c:pt idx="8">
                  <c:v>0.39599698869529448</c:v>
                </c:pt>
                <c:pt idx="9">
                  <c:v>6.1233718118262524E-2</c:v>
                </c:pt>
                <c:pt idx="10">
                  <c:v>3.1520849841696653E-2</c:v>
                </c:pt>
                <c:pt idx="11">
                  <c:v>3.9944578614176225E-2</c:v>
                </c:pt>
                <c:pt idx="12">
                  <c:v>3.7332969488514276E-3</c:v>
                </c:pt>
                <c:pt idx="13">
                  <c:v>0.81923060755275745</c:v>
                </c:pt>
                <c:pt idx="14">
                  <c:v>4.9959247977852596E-2</c:v>
                </c:pt>
                <c:pt idx="15">
                  <c:v>8.0444524314892407E-3</c:v>
                </c:pt>
                <c:pt idx="16">
                  <c:v>6.661008351048911E-2</c:v>
                </c:pt>
                <c:pt idx="17">
                  <c:v>0.18076939244724255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7CF-4D5F-82FA-F7D6D52F8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038383919"/>
        <c:axId val="103840071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'Common size analysis'!$B$44:$B$46</c15:sqref>
                        </c15:formulaRef>
                      </c:ext>
                    </c:extLst>
                    <c:strCache>
                      <c:ptCount val="3"/>
                      <c:pt idx="0">
                        <c:v>Egypt Aluminum Company</c:v>
                      </c:pt>
                      <c:pt idx="1">
                        <c:v>Balance Sheets  (in thousands)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'Common size analysis'!$A$47:$A$83</c15:sqref>
                        </c15:fullRef>
                        <c15:formulaRef>
                          <c15:sqref>('Common size analysis'!$A$48,'Common size analysis'!$A$50,'Common size analysis'!$A$52,'Common size analysis'!$A$56:$A$57,'Common size analysis'!$A$59:$A$61,'Common size analysis'!$A$64:$A$67,'Common size analysis'!$A$71,'Common size analysis'!$A$73,'Common size analysis'!$A$75,'Common size analysis'!$A$78:$A$79,'Common size analysis'!$A$82:$A$83)</c15:sqref>
                        </c15:formulaRef>
                      </c:ext>
                    </c:extLst>
                    <c:strCache>
                      <c:ptCount val="19"/>
                      <c:pt idx="0">
                        <c:v>Cash and cash equivalents</c:v>
                      </c:pt>
                      <c:pt idx="1">
                        <c:v>Accounts receivables</c:v>
                      </c:pt>
                      <c:pt idx="2">
                        <c:v>Inventory</c:v>
                      </c:pt>
                      <c:pt idx="3">
                        <c:v>Investment property</c:v>
                      </c:pt>
                      <c:pt idx="4">
                        <c:v>Property, plant and equipment</c:v>
                      </c:pt>
                      <c:pt idx="5">
                        <c:v>Deferred tax assets</c:v>
                      </c:pt>
                      <c:pt idx="6">
                        <c:v>Other assets</c:v>
                      </c:pt>
                      <c:pt idx="7">
                        <c:v>Total assets</c:v>
                      </c:pt>
                      <c:pt idx="8">
                        <c:v>Customer Deposits</c:v>
                      </c:pt>
                      <c:pt idx="9">
                        <c:v>Loans and borrowings</c:v>
                      </c:pt>
                      <c:pt idx="10">
                        <c:v>Creditors and other credit balances</c:v>
                      </c:pt>
                      <c:pt idx="11">
                        <c:v>Accounts payable - customers credit balance at fair value through profit and loss</c:v>
                      </c:pt>
                      <c:pt idx="12">
                        <c:v>Current tax liability</c:v>
                      </c:pt>
                      <c:pt idx="13">
                        <c:v>Total liabilities</c:v>
                      </c:pt>
                      <c:pt idx="14">
                        <c:v>Share capital</c:v>
                      </c:pt>
                      <c:pt idx="15">
                        <c:v>Other reserves</c:v>
                      </c:pt>
                      <c:pt idx="16">
                        <c:v>Retained earnings</c:v>
                      </c:pt>
                      <c:pt idx="17">
                        <c:v>Total equity</c:v>
                      </c:pt>
                      <c:pt idx="18">
                        <c:v>Total equity and liabilities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'Common size analysis'!$B$47:$B$83</c15:sqref>
                        </c15:fullRef>
                        <c15:formulaRef>
                          <c15:sqref>('Common size analysis'!$B$48,'Common size analysis'!$B$50,'Common size analysis'!$B$52,'Common size analysis'!$B$56:$B$57,'Common size analysis'!$B$59:$B$61,'Common size analysis'!$B$64:$B$67,'Common size analysis'!$B$71,'Common size analysis'!$B$73,'Common size analysis'!$B$75,'Common size analysis'!$B$78:$B$79,'Common size analysis'!$B$82:$B$83)</c15:sqref>
                        </c15:formulaRef>
                      </c:ext>
                    </c:extLst>
                    <c:numCache>
                      <c:formatCode>General</c:formatCode>
                      <c:ptCount val="19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F7CF-4D5F-82FA-F7D6D52F8AF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'Common size analysis'!$C$44:$C$46</c15:sqref>
                        </c15:formulaRef>
                      </c:ext>
                    </c:extLst>
                    <c:strCache>
                      <c:ptCount val="3"/>
                      <c:pt idx="0">
                        <c:v>Egypt Aluminum Company</c:v>
                      </c:pt>
                      <c:pt idx="1">
                        <c:v>Balance Sheets  (in thousands)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'Common size analysis'!$A$47:$A$83</c15:sqref>
                        </c15:fullRef>
                        <c15:formulaRef>
                          <c15:sqref>('Common size analysis'!$A$48,'Common size analysis'!$A$50,'Common size analysis'!$A$52,'Common size analysis'!$A$56:$A$57,'Common size analysis'!$A$59:$A$61,'Common size analysis'!$A$64:$A$67,'Common size analysis'!$A$71,'Common size analysis'!$A$73,'Common size analysis'!$A$75,'Common size analysis'!$A$78:$A$79,'Common size analysis'!$A$82:$A$83)</c15:sqref>
                        </c15:formulaRef>
                      </c:ext>
                    </c:extLst>
                    <c:strCache>
                      <c:ptCount val="19"/>
                      <c:pt idx="0">
                        <c:v>Cash and cash equivalents</c:v>
                      </c:pt>
                      <c:pt idx="1">
                        <c:v>Accounts receivables</c:v>
                      </c:pt>
                      <c:pt idx="2">
                        <c:v>Inventory</c:v>
                      </c:pt>
                      <c:pt idx="3">
                        <c:v>Investment property</c:v>
                      </c:pt>
                      <c:pt idx="4">
                        <c:v>Property, plant and equipment</c:v>
                      </c:pt>
                      <c:pt idx="5">
                        <c:v>Deferred tax assets</c:v>
                      </c:pt>
                      <c:pt idx="6">
                        <c:v>Other assets</c:v>
                      </c:pt>
                      <c:pt idx="7">
                        <c:v>Total assets</c:v>
                      </c:pt>
                      <c:pt idx="8">
                        <c:v>Customer Deposits</c:v>
                      </c:pt>
                      <c:pt idx="9">
                        <c:v>Loans and borrowings</c:v>
                      </c:pt>
                      <c:pt idx="10">
                        <c:v>Creditors and other credit balances</c:v>
                      </c:pt>
                      <c:pt idx="11">
                        <c:v>Accounts payable - customers credit balance at fair value through profit and loss</c:v>
                      </c:pt>
                      <c:pt idx="12">
                        <c:v>Current tax liability</c:v>
                      </c:pt>
                      <c:pt idx="13">
                        <c:v>Total liabilities</c:v>
                      </c:pt>
                      <c:pt idx="14">
                        <c:v>Share capital</c:v>
                      </c:pt>
                      <c:pt idx="15">
                        <c:v>Other reserves</c:v>
                      </c:pt>
                      <c:pt idx="16">
                        <c:v>Retained earnings</c:v>
                      </c:pt>
                      <c:pt idx="17">
                        <c:v>Total equity</c:v>
                      </c:pt>
                      <c:pt idx="18">
                        <c:v>Total equity and liabilities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'Common size analysis'!$C$47:$C$83</c15:sqref>
                        </c15:fullRef>
                        <c15:formulaRef>
                          <c15:sqref>('Common size analysis'!$C$48,'Common size analysis'!$C$50,'Common size analysis'!$C$52,'Common size analysis'!$C$56:$C$57,'Common size analysis'!$C$59:$C$61,'Common size analysis'!$C$64:$C$67,'Common size analysis'!$C$71,'Common size analysis'!$C$73,'Common size analysis'!$C$75,'Common size analysis'!$C$78:$C$79,'Common size analysis'!$C$82:$C$83)</c15:sqref>
                        </c15:formulaRef>
                      </c:ext>
                    </c:extLst>
                    <c:numCache>
                      <c:formatCode>General</c:formatCode>
                      <c:ptCount val="19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7CF-4D5F-82FA-F7D6D52F8AF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'Common size analysis'!$D$44:$D$46</c15:sqref>
                        </c15:formulaRef>
                      </c:ext>
                    </c:extLst>
                    <c:strCache>
                      <c:ptCount val="3"/>
                      <c:pt idx="0">
                        <c:v>Egypt Aluminum Company</c:v>
                      </c:pt>
                      <c:pt idx="1">
                        <c:v>Balance Sheets  (in thousands)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'Common size analysis'!$A$47:$A$83</c15:sqref>
                        </c15:fullRef>
                        <c15:formulaRef>
                          <c15:sqref>('Common size analysis'!$A$48,'Common size analysis'!$A$50,'Common size analysis'!$A$52,'Common size analysis'!$A$56:$A$57,'Common size analysis'!$A$59:$A$61,'Common size analysis'!$A$64:$A$67,'Common size analysis'!$A$71,'Common size analysis'!$A$73,'Common size analysis'!$A$75,'Common size analysis'!$A$78:$A$79,'Common size analysis'!$A$82:$A$83)</c15:sqref>
                        </c15:formulaRef>
                      </c:ext>
                    </c:extLst>
                    <c:strCache>
                      <c:ptCount val="19"/>
                      <c:pt idx="0">
                        <c:v>Cash and cash equivalents</c:v>
                      </c:pt>
                      <c:pt idx="1">
                        <c:v>Accounts receivables</c:v>
                      </c:pt>
                      <c:pt idx="2">
                        <c:v>Inventory</c:v>
                      </c:pt>
                      <c:pt idx="3">
                        <c:v>Investment property</c:v>
                      </c:pt>
                      <c:pt idx="4">
                        <c:v>Property, plant and equipment</c:v>
                      </c:pt>
                      <c:pt idx="5">
                        <c:v>Deferred tax assets</c:v>
                      </c:pt>
                      <c:pt idx="6">
                        <c:v>Other assets</c:v>
                      </c:pt>
                      <c:pt idx="7">
                        <c:v>Total assets</c:v>
                      </c:pt>
                      <c:pt idx="8">
                        <c:v>Customer Deposits</c:v>
                      </c:pt>
                      <c:pt idx="9">
                        <c:v>Loans and borrowings</c:v>
                      </c:pt>
                      <c:pt idx="10">
                        <c:v>Creditors and other credit balances</c:v>
                      </c:pt>
                      <c:pt idx="11">
                        <c:v>Accounts payable - customers credit balance at fair value through profit and loss</c:v>
                      </c:pt>
                      <c:pt idx="12">
                        <c:v>Current tax liability</c:v>
                      </c:pt>
                      <c:pt idx="13">
                        <c:v>Total liabilities</c:v>
                      </c:pt>
                      <c:pt idx="14">
                        <c:v>Share capital</c:v>
                      </c:pt>
                      <c:pt idx="15">
                        <c:v>Other reserves</c:v>
                      </c:pt>
                      <c:pt idx="16">
                        <c:v>Retained earnings</c:v>
                      </c:pt>
                      <c:pt idx="17">
                        <c:v>Total equity</c:v>
                      </c:pt>
                      <c:pt idx="18">
                        <c:v>Total equity and liabilities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'Common size analysis'!$D$47:$D$83</c15:sqref>
                        </c15:fullRef>
                        <c15:formulaRef>
                          <c15:sqref>('Common size analysis'!$D$48,'Common size analysis'!$D$50,'Common size analysis'!$D$52,'Common size analysis'!$D$56:$D$57,'Common size analysis'!$D$59:$D$61,'Common size analysis'!$D$64:$D$67,'Common size analysis'!$D$71,'Common size analysis'!$D$73,'Common size analysis'!$D$75,'Common size analysis'!$D$78:$D$79,'Common size analysis'!$D$82:$D$83)</c15:sqref>
                        </c15:formulaRef>
                      </c:ext>
                    </c:extLst>
                    <c:numCache>
                      <c:formatCode>General</c:formatCode>
                      <c:ptCount val="19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7CF-4D5F-82FA-F7D6D52F8AF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'Common size analysis'!$E$44:$E$46</c15:sqref>
                        </c15:formulaRef>
                      </c:ext>
                    </c:extLst>
                    <c:strCache>
                      <c:ptCount val="3"/>
                      <c:pt idx="0">
                        <c:v>Egypt Aluminum Company</c:v>
                      </c:pt>
                      <c:pt idx="1">
                        <c:v>Balance Sheets  (in thousands)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'Common size analysis'!$A$47:$A$83</c15:sqref>
                        </c15:fullRef>
                        <c15:formulaRef>
                          <c15:sqref>('Common size analysis'!$A$48,'Common size analysis'!$A$50,'Common size analysis'!$A$52,'Common size analysis'!$A$56:$A$57,'Common size analysis'!$A$59:$A$61,'Common size analysis'!$A$64:$A$67,'Common size analysis'!$A$71,'Common size analysis'!$A$73,'Common size analysis'!$A$75,'Common size analysis'!$A$78:$A$79,'Common size analysis'!$A$82:$A$83)</c15:sqref>
                        </c15:formulaRef>
                      </c:ext>
                    </c:extLst>
                    <c:strCache>
                      <c:ptCount val="19"/>
                      <c:pt idx="0">
                        <c:v>Cash and cash equivalents</c:v>
                      </c:pt>
                      <c:pt idx="1">
                        <c:v>Accounts receivables</c:v>
                      </c:pt>
                      <c:pt idx="2">
                        <c:v>Inventory</c:v>
                      </c:pt>
                      <c:pt idx="3">
                        <c:v>Investment property</c:v>
                      </c:pt>
                      <c:pt idx="4">
                        <c:v>Property, plant and equipment</c:v>
                      </c:pt>
                      <c:pt idx="5">
                        <c:v>Deferred tax assets</c:v>
                      </c:pt>
                      <c:pt idx="6">
                        <c:v>Other assets</c:v>
                      </c:pt>
                      <c:pt idx="7">
                        <c:v>Total assets</c:v>
                      </c:pt>
                      <c:pt idx="8">
                        <c:v>Customer Deposits</c:v>
                      </c:pt>
                      <c:pt idx="9">
                        <c:v>Loans and borrowings</c:v>
                      </c:pt>
                      <c:pt idx="10">
                        <c:v>Creditors and other credit balances</c:v>
                      </c:pt>
                      <c:pt idx="11">
                        <c:v>Accounts payable - customers credit balance at fair value through profit and loss</c:v>
                      </c:pt>
                      <c:pt idx="12">
                        <c:v>Current tax liability</c:v>
                      </c:pt>
                      <c:pt idx="13">
                        <c:v>Total liabilities</c:v>
                      </c:pt>
                      <c:pt idx="14">
                        <c:v>Share capital</c:v>
                      </c:pt>
                      <c:pt idx="15">
                        <c:v>Other reserves</c:v>
                      </c:pt>
                      <c:pt idx="16">
                        <c:v>Retained earnings</c:v>
                      </c:pt>
                      <c:pt idx="17">
                        <c:v>Total equity</c:v>
                      </c:pt>
                      <c:pt idx="18">
                        <c:v>Total equity and liabilities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'Common size analysis'!$E$47:$E$83</c15:sqref>
                        </c15:fullRef>
                        <c15:formulaRef>
                          <c15:sqref>('Common size analysis'!$E$48,'Common size analysis'!$E$50,'Common size analysis'!$E$52,'Common size analysis'!$E$56:$E$57,'Common size analysis'!$E$59:$E$61,'Common size analysis'!$E$64:$E$67,'Common size analysis'!$E$71,'Common size analysis'!$E$73,'Common size analysis'!$E$75,'Common size analysis'!$E$78:$E$79,'Common size analysis'!$E$82:$E$83)</c15:sqref>
                        </c15:formulaRef>
                      </c:ext>
                    </c:extLst>
                    <c:numCache>
                      <c:formatCode>General</c:formatCode>
                      <c:ptCount val="19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F7CF-4D5F-82FA-F7D6D52F8AF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'Common size analysis'!$F$44:$F$46</c15:sqref>
                        </c15:formulaRef>
                      </c:ext>
                    </c:extLst>
                    <c:strCache>
                      <c:ptCount val="3"/>
                      <c:pt idx="0">
                        <c:v>At December 31, 2024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'Common size analysis'!$A$47:$A$83</c15:sqref>
                        </c15:fullRef>
                        <c15:formulaRef>
                          <c15:sqref>('Common size analysis'!$A$48,'Common size analysis'!$A$50,'Common size analysis'!$A$52,'Common size analysis'!$A$56:$A$57,'Common size analysis'!$A$59:$A$61,'Common size analysis'!$A$64:$A$67,'Common size analysis'!$A$71,'Common size analysis'!$A$73,'Common size analysis'!$A$75,'Common size analysis'!$A$78:$A$79,'Common size analysis'!$A$82:$A$83)</c15:sqref>
                        </c15:formulaRef>
                      </c:ext>
                    </c:extLst>
                    <c:strCache>
                      <c:ptCount val="19"/>
                      <c:pt idx="0">
                        <c:v>Cash and cash equivalents</c:v>
                      </c:pt>
                      <c:pt idx="1">
                        <c:v>Accounts receivables</c:v>
                      </c:pt>
                      <c:pt idx="2">
                        <c:v>Inventory</c:v>
                      </c:pt>
                      <c:pt idx="3">
                        <c:v>Investment property</c:v>
                      </c:pt>
                      <c:pt idx="4">
                        <c:v>Property, plant and equipment</c:v>
                      </c:pt>
                      <c:pt idx="5">
                        <c:v>Deferred tax assets</c:v>
                      </c:pt>
                      <c:pt idx="6">
                        <c:v>Other assets</c:v>
                      </c:pt>
                      <c:pt idx="7">
                        <c:v>Total assets</c:v>
                      </c:pt>
                      <c:pt idx="8">
                        <c:v>Customer Deposits</c:v>
                      </c:pt>
                      <c:pt idx="9">
                        <c:v>Loans and borrowings</c:v>
                      </c:pt>
                      <c:pt idx="10">
                        <c:v>Creditors and other credit balances</c:v>
                      </c:pt>
                      <c:pt idx="11">
                        <c:v>Accounts payable - customers credit balance at fair value through profit and loss</c:v>
                      </c:pt>
                      <c:pt idx="12">
                        <c:v>Current tax liability</c:v>
                      </c:pt>
                      <c:pt idx="13">
                        <c:v>Total liabilities</c:v>
                      </c:pt>
                      <c:pt idx="14">
                        <c:v>Share capital</c:v>
                      </c:pt>
                      <c:pt idx="15">
                        <c:v>Other reserves</c:v>
                      </c:pt>
                      <c:pt idx="16">
                        <c:v>Retained earnings</c:v>
                      </c:pt>
                      <c:pt idx="17">
                        <c:v>Total equity</c:v>
                      </c:pt>
                      <c:pt idx="18">
                        <c:v>Total equity and liabilities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'Common size analysis'!$F$47:$F$83</c15:sqref>
                        </c15:fullRef>
                        <c15:formulaRef>
                          <c15:sqref>('Common size analysis'!$F$48,'Common size analysis'!$F$50,'Common size analysis'!$F$52,'Common size analysis'!$F$56:$F$57,'Common size analysis'!$F$59:$F$61,'Common size analysis'!$F$64:$F$67,'Common size analysis'!$F$71,'Common size analysis'!$F$73,'Common size analysis'!$F$75,'Common size analysis'!$F$78:$F$79,'Common size analysis'!$F$82:$F$83)</c15:sqref>
                        </c15:formulaRef>
                      </c:ext>
                    </c:extLst>
                    <c:numCache>
                      <c:formatCode>_-* #,##0\ [$ج.م.‏-C01]_-;\-* #,##0\ [$ج.م.‏-C01]_-;_-* "-"??\ [$ج.م.‏-C01]_-;_-@_-</c:formatCode>
                      <c:ptCount val="19"/>
                      <c:pt idx="0">
                        <c:v>51540737</c:v>
                      </c:pt>
                      <c:pt idx="1">
                        <c:v>15773382</c:v>
                      </c:pt>
                      <c:pt idx="2">
                        <c:v>12374218</c:v>
                      </c:pt>
                      <c:pt idx="3">
                        <c:v>90283</c:v>
                      </c:pt>
                      <c:pt idx="4">
                        <c:v>2975630</c:v>
                      </c:pt>
                      <c:pt idx="5">
                        <c:v>233912</c:v>
                      </c:pt>
                      <c:pt idx="6">
                        <c:v>6583336</c:v>
                      </c:pt>
                      <c:pt idx="7">
                        <c:v>186878411</c:v>
                      </c:pt>
                      <c:pt idx="8">
                        <c:v>67208585</c:v>
                      </c:pt>
                      <c:pt idx="9">
                        <c:v>11489567</c:v>
                      </c:pt>
                      <c:pt idx="10">
                        <c:v>11130638</c:v>
                      </c:pt>
                      <c:pt idx="11">
                        <c:v>7901466</c:v>
                      </c:pt>
                      <c:pt idx="12">
                        <c:v>1020705</c:v>
                      </c:pt>
                      <c:pt idx="13">
                        <c:v>147510446</c:v>
                      </c:pt>
                      <c:pt idx="14">
                        <c:v>7298030</c:v>
                      </c:pt>
                      <c:pt idx="15">
                        <c:v>11800563</c:v>
                      </c:pt>
                      <c:pt idx="16">
                        <c:v>12568681</c:v>
                      </c:pt>
                      <c:pt idx="17">
                        <c:v>39367965</c:v>
                      </c:pt>
                      <c:pt idx="18">
                        <c:v>186878411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F7CF-4D5F-82FA-F7D6D52F8AF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'Common size analysis'!$H$44:$H$46</c15:sqref>
                        </c15:formulaRef>
                      </c:ext>
                    </c:extLst>
                    <c:strCache>
                      <c:ptCount val="3"/>
                      <c:pt idx="0">
                        <c:v>At December 31, 2023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'Common size analysis'!$A$47:$A$83</c15:sqref>
                        </c15:fullRef>
                        <c15:formulaRef>
                          <c15:sqref>('Common size analysis'!$A$48,'Common size analysis'!$A$50,'Common size analysis'!$A$52,'Common size analysis'!$A$56:$A$57,'Common size analysis'!$A$59:$A$61,'Common size analysis'!$A$64:$A$67,'Common size analysis'!$A$71,'Common size analysis'!$A$73,'Common size analysis'!$A$75,'Common size analysis'!$A$78:$A$79,'Common size analysis'!$A$82:$A$83)</c15:sqref>
                        </c15:formulaRef>
                      </c:ext>
                    </c:extLst>
                    <c:strCache>
                      <c:ptCount val="19"/>
                      <c:pt idx="0">
                        <c:v>Cash and cash equivalents</c:v>
                      </c:pt>
                      <c:pt idx="1">
                        <c:v>Accounts receivables</c:v>
                      </c:pt>
                      <c:pt idx="2">
                        <c:v>Inventory</c:v>
                      </c:pt>
                      <c:pt idx="3">
                        <c:v>Investment property</c:v>
                      </c:pt>
                      <c:pt idx="4">
                        <c:v>Property, plant and equipment</c:v>
                      </c:pt>
                      <c:pt idx="5">
                        <c:v>Deferred tax assets</c:v>
                      </c:pt>
                      <c:pt idx="6">
                        <c:v>Other assets</c:v>
                      </c:pt>
                      <c:pt idx="7">
                        <c:v>Total assets</c:v>
                      </c:pt>
                      <c:pt idx="8">
                        <c:v>Customer Deposits</c:v>
                      </c:pt>
                      <c:pt idx="9">
                        <c:v>Loans and borrowings</c:v>
                      </c:pt>
                      <c:pt idx="10">
                        <c:v>Creditors and other credit balances</c:v>
                      </c:pt>
                      <c:pt idx="11">
                        <c:v>Accounts payable - customers credit balance at fair value through profit and loss</c:v>
                      </c:pt>
                      <c:pt idx="12">
                        <c:v>Current tax liability</c:v>
                      </c:pt>
                      <c:pt idx="13">
                        <c:v>Total liabilities</c:v>
                      </c:pt>
                      <c:pt idx="14">
                        <c:v>Share capital</c:v>
                      </c:pt>
                      <c:pt idx="15">
                        <c:v>Other reserves</c:v>
                      </c:pt>
                      <c:pt idx="16">
                        <c:v>Retained earnings</c:v>
                      </c:pt>
                      <c:pt idx="17">
                        <c:v>Total equity</c:v>
                      </c:pt>
                      <c:pt idx="18">
                        <c:v>Total equity and liabilities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'Common size analysis'!$H$47:$H$83</c15:sqref>
                        </c15:fullRef>
                        <c15:formulaRef>
                          <c15:sqref>('Common size analysis'!$H$48,'Common size analysis'!$H$50,'Common size analysis'!$H$52,'Common size analysis'!$H$56:$H$57,'Common size analysis'!$H$59:$H$61,'Common size analysis'!$H$64:$H$67,'Common size analysis'!$H$71,'Common size analysis'!$H$73,'Common size analysis'!$H$75,'Common size analysis'!$H$78:$H$79,'Common size analysis'!$H$82:$H$83)</c15:sqref>
                        </c15:formulaRef>
                      </c:ext>
                    </c:extLst>
                    <c:numCache>
                      <c:formatCode>_-* #,##0\ [$ج.م.‏-C01]_-;\-* #,##0\ [$ج.م.‏-C01]_-;_-* "-"??\ [$ج.م.‏-C01]_-;_-@_-</c:formatCode>
                      <c:ptCount val="19"/>
                      <c:pt idx="0">
                        <c:v>32252243</c:v>
                      </c:pt>
                      <c:pt idx="1">
                        <c:v>6770962</c:v>
                      </c:pt>
                      <c:pt idx="2">
                        <c:v>11647611</c:v>
                      </c:pt>
                      <c:pt idx="3">
                        <c:v>98701</c:v>
                      </c:pt>
                      <c:pt idx="4">
                        <c:v>2177789</c:v>
                      </c:pt>
                      <c:pt idx="5">
                        <c:v>126411</c:v>
                      </c:pt>
                      <c:pt idx="6">
                        <c:v>5021903</c:v>
                      </c:pt>
                      <c:pt idx="7">
                        <c:v>121911084</c:v>
                      </c:pt>
                      <c:pt idx="8">
                        <c:v>50634207</c:v>
                      </c:pt>
                      <c:pt idx="9">
                        <c:v>8130903</c:v>
                      </c:pt>
                      <c:pt idx="10">
                        <c:v>6216904</c:v>
                      </c:pt>
                      <c:pt idx="11">
                        <c:v>680319</c:v>
                      </c:pt>
                      <c:pt idx="12">
                        <c:v>638583</c:v>
                      </c:pt>
                      <c:pt idx="13">
                        <c:v>94512045</c:v>
                      </c:pt>
                      <c:pt idx="14">
                        <c:v>7298030</c:v>
                      </c:pt>
                      <c:pt idx="15">
                        <c:v>4843110</c:v>
                      </c:pt>
                      <c:pt idx="16">
                        <c:v>8534456</c:v>
                      </c:pt>
                      <c:pt idx="17">
                        <c:v>27399039</c:v>
                      </c:pt>
                      <c:pt idx="18">
                        <c:v>121911084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F7CF-4D5F-82FA-F7D6D52F8AF8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'Common size analysis'!$J$44:$J$46</c15:sqref>
                        </c15:formulaRef>
                      </c:ext>
                    </c:extLst>
                    <c:strCache>
                      <c:ptCount val="3"/>
                      <c:pt idx="0">
                        <c:v>At December 31, 2022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'Common size analysis'!$A$47:$A$83</c15:sqref>
                        </c15:fullRef>
                        <c15:formulaRef>
                          <c15:sqref>('Common size analysis'!$A$48,'Common size analysis'!$A$50,'Common size analysis'!$A$52,'Common size analysis'!$A$56:$A$57,'Common size analysis'!$A$59:$A$61,'Common size analysis'!$A$64:$A$67,'Common size analysis'!$A$71,'Common size analysis'!$A$73,'Common size analysis'!$A$75,'Common size analysis'!$A$78:$A$79,'Common size analysis'!$A$82:$A$83)</c15:sqref>
                        </c15:formulaRef>
                      </c:ext>
                    </c:extLst>
                    <c:strCache>
                      <c:ptCount val="19"/>
                      <c:pt idx="0">
                        <c:v>Cash and cash equivalents</c:v>
                      </c:pt>
                      <c:pt idx="1">
                        <c:v>Accounts receivables</c:v>
                      </c:pt>
                      <c:pt idx="2">
                        <c:v>Inventory</c:v>
                      </c:pt>
                      <c:pt idx="3">
                        <c:v>Investment property</c:v>
                      </c:pt>
                      <c:pt idx="4">
                        <c:v>Property, plant and equipment</c:v>
                      </c:pt>
                      <c:pt idx="5">
                        <c:v>Deferred tax assets</c:v>
                      </c:pt>
                      <c:pt idx="6">
                        <c:v>Other assets</c:v>
                      </c:pt>
                      <c:pt idx="7">
                        <c:v>Total assets</c:v>
                      </c:pt>
                      <c:pt idx="8">
                        <c:v>Customer Deposits</c:v>
                      </c:pt>
                      <c:pt idx="9">
                        <c:v>Loans and borrowings</c:v>
                      </c:pt>
                      <c:pt idx="10">
                        <c:v>Creditors and other credit balances</c:v>
                      </c:pt>
                      <c:pt idx="11">
                        <c:v>Accounts payable - customers credit balance at fair value through profit and loss</c:v>
                      </c:pt>
                      <c:pt idx="12">
                        <c:v>Current tax liability</c:v>
                      </c:pt>
                      <c:pt idx="13">
                        <c:v>Total liabilities</c:v>
                      </c:pt>
                      <c:pt idx="14">
                        <c:v>Share capital</c:v>
                      </c:pt>
                      <c:pt idx="15">
                        <c:v>Other reserves</c:v>
                      </c:pt>
                      <c:pt idx="16">
                        <c:v>Retained earnings</c:v>
                      </c:pt>
                      <c:pt idx="17">
                        <c:v>Total equity</c:v>
                      </c:pt>
                      <c:pt idx="18">
                        <c:v>Total equity and liabilities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'Common size analysis'!$J$47:$J$83</c15:sqref>
                        </c15:fullRef>
                        <c15:formulaRef>
                          <c15:sqref>('Common size analysis'!$J$48,'Common size analysis'!$J$50,'Common size analysis'!$J$52,'Common size analysis'!$J$56:$J$57,'Common size analysis'!$J$59:$J$61,'Common size analysis'!$J$64:$J$67,'Common size analysis'!$J$71,'Common size analysis'!$J$73,'Common size analysis'!$J$75,'Common size analysis'!$J$78:$J$79,'Common size analysis'!$J$82:$J$83)</c15:sqref>
                        </c15:formulaRef>
                      </c:ext>
                    </c:extLst>
                    <c:numCache>
                      <c:formatCode>_-* #,##0\ [$ج.م.‏-C01]_-;\-* #,##0\ [$ج.م.‏-C01]_-;_-* "-"??\ [$ج.م.‏-C01]_-;_-@_-</c:formatCode>
                      <c:ptCount val="19"/>
                      <c:pt idx="0">
                        <c:v>26214250479</c:v>
                      </c:pt>
                      <c:pt idx="1">
                        <c:v>5569133136</c:v>
                      </c:pt>
                      <c:pt idx="2">
                        <c:v>14080120999</c:v>
                      </c:pt>
                      <c:pt idx="3">
                        <c:v>118984442</c:v>
                      </c:pt>
                      <c:pt idx="4">
                        <c:v>1636042509</c:v>
                      </c:pt>
                      <c:pt idx="5">
                        <c:v>64486447</c:v>
                      </c:pt>
                      <c:pt idx="6">
                        <c:v>3401909847</c:v>
                      </c:pt>
                      <c:pt idx="7">
                        <c:v>105509539526</c:v>
                      </c:pt>
                      <c:pt idx="8">
                        <c:v>48130171764</c:v>
                      </c:pt>
                      <c:pt idx="9">
                        <c:v>5408502064</c:v>
                      </c:pt>
                      <c:pt idx="10">
                        <c:v>4570191615</c:v>
                      </c:pt>
                      <c:pt idx="11">
                        <c:v>379039443</c:v>
                      </c:pt>
                      <c:pt idx="12">
                        <c:v>473873472</c:v>
                      </c:pt>
                      <c:pt idx="13">
                        <c:v>83133437559</c:v>
                      </c:pt>
                      <c:pt idx="14">
                        <c:v>5838424030</c:v>
                      </c:pt>
                      <c:pt idx="15">
                        <c:v>3125555888</c:v>
                      </c:pt>
                      <c:pt idx="16">
                        <c:v>7460139693</c:v>
                      </c:pt>
                      <c:pt idx="17">
                        <c:v>22376101967</c:v>
                      </c:pt>
                      <c:pt idx="18">
                        <c:v>105509539526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F7CF-4D5F-82FA-F7D6D52F8AF8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'Common size analysis'!$L$44:$L$46</c15:sqref>
                        </c15:formulaRef>
                      </c:ext>
                    </c:extLst>
                    <c:strCache>
                      <c:ptCount val="3"/>
                      <c:pt idx="0">
                        <c:v>At December 31, 2021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'Common size analysis'!$A$47:$A$83</c15:sqref>
                        </c15:fullRef>
                        <c15:formulaRef>
                          <c15:sqref>('Common size analysis'!$A$48,'Common size analysis'!$A$50,'Common size analysis'!$A$52,'Common size analysis'!$A$56:$A$57,'Common size analysis'!$A$59:$A$61,'Common size analysis'!$A$64:$A$67,'Common size analysis'!$A$71,'Common size analysis'!$A$73,'Common size analysis'!$A$75,'Common size analysis'!$A$78:$A$79,'Common size analysis'!$A$82:$A$83)</c15:sqref>
                        </c15:formulaRef>
                      </c:ext>
                    </c:extLst>
                    <c:strCache>
                      <c:ptCount val="19"/>
                      <c:pt idx="0">
                        <c:v>Cash and cash equivalents</c:v>
                      </c:pt>
                      <c:pt idx="1">
                        <c:v>Accounts receivables</c:v>
                      </c:pt>
                      <c:pt idx="2">
                        <c:v>Inventory</c:v>
                      </c:pt>
                      <c:pt idx="3">
                        <c:v>Investment property</c:v>
                      </c:pt>
                      <c:pt idx="4">
                        <c:v>Property, plant and equipment</c:v>
                      </c:pt>
                      <c:pt idx="5">
                        <c:v>Deferred tax assets</c:v>
                      </c:pt>
                      <c:pt idx="6">
                        <c:v>Other assets</c:v>
                      </c:pt>
                      <c:pt idx="7">
                        <c:v>Total assets</c:v>
                      </c:pt>
                      <c:pt idx="8">
                        <c:v>Customer Deposits</c:v>
                      </c:pt>
                      <c:pt idx="9">
                        <c:v>Loans and borrowings</c:v>
                      </c:pt>
                      <c:pt idx="10">
                        <c:v>Creditors and other credit balances</c:v>
                      </c:pt>
                      <c:pt idx="11">
                        <c:v>Accounts payable - customers credit balance at fair value through profit and loss</c:v>
                      </c:pt>
                      <c:pt idx="12">
                        <c:v>Current tax liability</c:v>
                      </c:pt>
                      <c:pt idx="13">
                        <c:v>Total liabilities</c:v>
                      </c:pt>
                      <c:pt idx="14">
                        <c:v>Share capital</c:v>
                      </c:pt>
                      <c:pt idx="15">
                        <c:v>Other reserves</c:v>
                      </c:pt>
                      <c:pt idx="16">
                        <c:v>Retained earnings</c:v>
                      </c:pt>
                      <c:pt idx="17">
                        <c:v>Total equity</c:v>
                      </c:pt>
                      <c:pt idx="18">
                        <c:v>Total equity and liabilities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'Common size analysis'!$L$47:$L$83</c15:sqref>
                        </c15:fullRef>
                        <c15:formulaRef>
                          <c15:sqref>('Common size analysis'!$L$48,'Common size analysis'!$L$50,'Common size analysis'!$L$52,'Common size analysis'!$L$56:$L$57,'Common size analysis'!$L$59:$L$61,'Common size analysis'!$L$64:$L$67,'Common size analysis'!$L$71,'Common size analysis'!$L$73,'Common size analysis'!$L$75,'Common size analysis'!$L$78:$L$79,'Common size analysis'!$L$82:$L$83)</c15:sqref>
                        </c15:formulaRef>
                      </c:ext>
                    </c:extLst>
                    <c:numCache>
                      <c:formatCode>_-* #,##0\ [$ج.م.‏-C01]_-;\-* #,##0\ [$ج.م.‏-C01]_-;_-* "-"??\ [$ج.م.‏-C01]_-;_-@_-</c:formatCode>
                      <c:ptCount val="19"/>
                      <c:pt idx="0">
                        <c:v>30876257819</c:v>
                      </c:pt>
                      <c:pt idx="1">
                        <c:v>5611375904</c:v>
                      </c:pt>
                      <c:pt idx="2">
                        <c:v>16820480365</c:v>
                      </c:pt>
                      <c:pt idx="3">
                        <c:v>125529472</c:v>
                      </c:pt>
                      <c:pt idx="4">
                        <c:v>1522312110</c:v>
                      </c:pt>
                      <c:pt idx="5">
                        <c:v>47607209</c:v>
                      </c:pt>
                      <c:pt idx="6">
                        <c:v>2564263111</c:v>
                      </c:pt>
                      <c:pt idx="7">
                        <c:v>97386440988</c:v>
                      </c:pt>
                      <c:pt idx="8">
                        <c:v>38564737371</c:v>
                      </c:pt>
                      <c:pt idx="9">
                        <c:v>5963333876</c:v>
                      </c:pt>
                      <c:pt idx="10">
                        <c:v>3069703383</c:v>
                      </c:pt>
                      <c:pt idx="11">
                        <c:v>3890060348</c:v>
                      </c:pt>
                      <c:pt idx="12">
                        <c:v>363572503</c:v>
                      </c:pt>
                      <c:pt idx="13">
                        <c:v>79781953218</c:v>
                      </c:pt>
                      <c:pt idx="14">
                        <c:v>4865353355</c:v>
                      </c:pt>
                      <c:pt idx="15">
                        <c:v>783420592</c:v>
                      </c:pt>
                      <c:pt idx="16">
                        <c:v>6486918967</c:v>
                      </c:pt>
                      <c:pt idx="17">
                        <c:v>17604487770</c:v>
                      </c:pt>
                      <c:pt idx="18">
                        <c:v>97386440988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F7CF-4D5F-82FA-F7D6D52F8AF8}"/>
                  </c:ext>
                </c:extLst>
              </c15:ser>
            </c15:filteredBarSeries>
          </c:ext>
        </c:extLst>
      </c:barChart>
      <c:catAx>
        <c:axId val="1038383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400719"/>
        <c:crossesAt val="0"/>
        <c:auto val="1"/>
        <c:lblAlgn val="ctr"/>
        <c:lblOffset val="100"/>
        <c:noMultiLvlLbl val="0"/>
      </c:catAx>
      <c:valAx>
        <c:axId val="103840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38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0_3#1">
  <dgm:title val=""/>
  <dgm:desc val=""/>
  <dgm:catLst>
    <dgm:cat type="mainScheme" pri="10300"/>
  </dgm:catLst>
  <dgm:styleLbl name="node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lignNode1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ln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vennNode1">
    <dgm:fillClrLst meth="repeat">
      <a:schemeClr val="dk2">
        <a:alpha val="50000"/>
      </a:schemeClr>
    </dgm:fillClrLst>
    <dgm:linClrLst meth="repeat">
      <a:schemeClr val="lt2"/>
    </dgm:linClrLst>
    <dgm:effectClrLst/>
    <dgm:txLinClrLst/>
    <dgm:txFillClrLst/>
    <dgm:txEffectClrLst/>
  </dgm:styleLbl>
  <dgm:styleLbl name="node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fgImgPlace1">
    <dgm:fillClrLst meth="repeat">
      <a:schemeClr val="dk2">
        <a:tint val="50000"/>
      </a:schemeClr>
    </dgm:fillClrLst>
    <dgm:linClrLst meth="repeat">
      <a:schemeClr val="lt2"/>
    </dgm:linClrLst>
    <dgm:effectClrLst/>
    <dgm:txLinClrLst/>
    <dgm:txFillClrLst meth="repeat">
      <a:schemeClr val="lt2"/>
    </dgm:txFillClrLst>
    <dgm:txEffectClrLst/>
  </dgm:styleLbl>
  <dgm:styleLbl name="align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bg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callout">
    <dgm:fillClrLst meth="repeat">
      <a:schemeClr val="dk2"/>
    </dgm:fillClrLst>
    <dgm:linClrLst meth="repeat">
      <a:schemeClr val="dk2">
        <a:tint val="50000"/>
      </a:schemeClr>
    </dgm:linClrLst>
    <dgm:effectClrLst/>
    <dgm:txLinClrLst/>
    <dgm:txFillClrLst meth="repeat">
      <a:schemeClr val="lt2"/>
    </dgm:txFillClrLst>
    <dgm:txEffectClrLst/>
  </dgm:styleLbl>
  <dgm:styleLbl name="asst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lt2"/>
    </dgm:txFillClrLst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2">
        <a:alpha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2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2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1315123D-338A-464A-BB98-ED922F4D9A76}" type="doc">
      <dgm:prSet loTypeId="urn:microsoft.com/office/officeart/2005/8/layout/matrix2" loCatId="matrix" qsTypeId="urn:microsoft.com/office/officeart/2005/8/quickstyle/3d3#1" qsCatId="3D" csTypeId="urn:microsoft.com/office/officeart/2005/8/colors/accent0_3#1" csCatId="mainScheme" phldr="1"/>
      <dgm:spPr/>
      <dgm:t>
        <a:bodyPr/>
        <a:lstStyle/>
        <a:p>
          <a:endParaRPr lang="en-US"/>
        </a:p>
      </dgm:t>
    </dgm:pt>
    <dgm:pt modelId="{0E183448-8BBF-440D-B30E-8E0A8813B6BA}">
      <dgm:prSet phldrT="[Text]"/>
      <dgm:spPr/>
      <dgm:t>
        <a:bodyPr/>
        <a:lstStyle/>
        <a:p>
          <a:r>
            <a:rPr lang="en-US"/>
            <a:t>72.360%</a:t>
          </a:r>
        </a:p>
      </dgm:t>
    </dgm:pt>
    <dgm:pt modelId="{44C2E5AA-84D5-45F9-A9BD-AA8D84E14C11}" type="parTrans" cxnId="{4B2836E1-D2CA-488B-AFDA-D975C2EDBE5F}">
      <dgm:prSet/>
      <dgm:spPr/>
      <dgm:t>
        <a:bodyPr/>
        <a:lstStyle/>
        <a:p>
          <a:endParaRPr lang="en-US"/>
        </a:p>
      </dgm:t>
    </dgm:pt>
    <dgm:pt modelId="{683EE417-485E-4295-A8CE-56E52A90B225}" type="sibTrans" cxnId="{4B2836E1-D2CA-488B-AFDA-D975C2EDBE5F}">
      <dgm:prSet/>
      <dgm:spPr/>
      <dgm:t>
        <a:bodyPr/>
        <a:lstStyle/>
        <a:p>
          <a:endParaRPr lang="en-US"/>
        </a:p>
      </dgm:t>
    </dgm:pt>
    <dgm:pt modelId="{205A9C44-3C03-4796-9609-AC3B16F37432}">
      <dgm:prSet phldrT="[Text]"/>
      <dgm:spPr/>
      <dgm:t>
        <a:bodyPr/>
        <a:lstStyle/>
        <a:p>
          <a:r>
            <a:rPr lang="en-US"/>
            <a:t>27.639%</a:t>
          </a:r>
        </a:p>
      </dgm:t>
    </dgm:pt>
    <dgm:pt modelId="{8827315D-1593-4310-BCEE-2ADD24C2ABC8}" type="parTrans" cxnId="{1CF3FCED-D0EF-4E49-A49D-914C5E8D9E5D}">
      <dgm:prSet/>
      <dgm:spPr/>
      <dgm:t>
        <a:bodyPr/>
        <a:lstStyle/>
        <a:p>
          <a:endParaRPr lang="en-US"/>
        </a:p>
      </dgm:t>
    </dgm:pt>
    <dgm:pt modelId="{EE3F1698-D2E3-42E1-A65A-3B122EF0573B}" type="sibTrans" cxnId="{1CF3FCED-D0EF-4E49-A49D-914C5E8D9E5D}">
      <dgm:prSet/>
      <dgm:spPr/>
      <dgm:t>
        <a:bodyPr/>
        <a:lstStyle/>
        <a:p>
          <a:endParaRPr lang="en-US"/>
        </a:p>
      </dgm:t>
    </dgm:pt>
    <dgm:pt modelId="{6C2FB11F-ECAC-42C5-97B4-ABAA3F566247}">
      <dgm:prSet phldrT="[Text]"/>
      <dgm:spPr/>
      <dgm:t>
        <a:bodyPr/>
        <a:lstStyle/>
        <a:p>
          <a:r>
            <a:rPr lang="en-US"/>
            <a:t>74.434%</a:t>
          </a:r>
        </a:p>
      </dgm:t>
    </dgm:pt>
    <dgm:pt modelId="{3604F5F0-994B-4578-B84A-46CC43372EE5}" type="parTrans" cxnId="{60FC6D96-A4B5-4CC7-9B70-DE6FBE1C8FB7}">
      <dgm:prSet/>
      <dgm:spPr/>
      <dgm:t>
        <a:bodyPr/>
        <a:lstStyle/>
        <a:p>
          <a:endParaRPr lang="en-US"/>
        </a:p>
      </dgm:t>
    </dgm:pt>
    <dgm:pt modelId="{BAD2CC9F-7076-4D71-A3B4-319B9E2AE124}" type="sibTrans" cxnId="{60FC6D96-A4B5-4CC7-9B70-DE6FBE1C8FB7}">
      <dgm:prSet/>
      <dgm:spPr/>
      <dgm:t>
        <a:bodyPr/>
        <a:lstStyle/>
        <a:p>
          <a:endParaRPr lang="en-US"/>
        </a:p>
      </dgm:t>
    </dgm:pt>
    <dgm:pt modelId="{9ACAE4D2-BF12-4B8B-8968-135ED450D912}">
      <dgm:prSet phldrT="[Text]"/>
      <dgm:spPr/>
      <dgm:t>
        <a:bodyPr/>
        <a:lstStyle/>
        <a:p>
          <a:r>
            <a:rPr lang="en-US"/>
            <a:t>25.569%</a:t>
          </a:r>
        </a:p>
      </dgm:t>
    </dgm:pt>
    <dgm:pt modelId="{03F38A80-FFA4-4725-BB47-E3195F4B4845}" type="sibTrans" cxnId="{CEF7F022-11EE-4A6F-A541-6E978F1FDBCF}">
      <dgm:prSet/>
      <dgm:spPr/>
      <dgm:t>
        <a:bodyPr/>
        <a:lstStyle/>
        <a:p>
          <a:endParaRPr lang="en-US"/>
        </a:p>
      </dgm:t>
    </dgm:pt>
    <dgm:pt modelId="{566939EF-D5F3-4026-8161-416F36225D23}" type="parTrans" cxnId="{CEF7F022-11EE-4A6F-A541-6E978F1FDBCF}">
      <dgm:prSet/>
      <dgm:spPr/>
      <dgm:t>
        <a:bodyPr/>
        <a:lstStyle/>
        <a:p>
          <a:endParaRPr lang="en-US"/>
        </a:p>
      </dgm:t>
    </dgm:pt>
    <dgm:pt modelId="{71541893-AFE0-4F3F-B437-F1C9757D9123}" type="pres">
      <dgm:prSet presAssocID="{1315123D-338A-464A-BB98-ED922F4D9A76}" presName="matrix" presStyleCnt="0">
        <dgm:presLayoutVars>
          <dgm:chMax val="1"/>
          <dgm:dir/>
          <dgm:resizeHandles val="exact"/>
        </dgm:presLayoutVars>
      </dgm:prSet>
      <dgm:spPr/>
    </dgm:pt>
    <dgm:pt modelId="{2F1F691A-D7DA-468A-99E9-D44BCC3A64DF}" type="pres">
      <dgm:prSet presAssocID="{1315123D-338A-464A-BB98-ED922F4D9A76}" presName="axisShape" presStyleLbl="bgShp" presStyleIdx="0" presStyleCnt="1" custScaleX="162029" custLinFactNeighborX="-245" custLinFactNeighborY="245"/>
      <dgm:spPr/>
    </dgm:pt>
    <dgm:pt modelId="{1B9CE438-7B49-4592-BD56-CAA02A8A08E4}" type="pres">
      <dgm:prSet presAssocID="{1315123D-338A-464A-BB98-ED922F4D9A76}" presName="rect1" presStyleLbl="node1" presStyleIdx="0" presStyleCnt="4">
        <dgm:presLayoutVars>
          <dgm:chMax val="0"/>
          <dgm:chPref val="0"/>
          <dgm:bulletEnabled val="1"/>
        </dgm:presLayoutVars>
      </dgm:prSet>
      <dgm:spPr/>
    </dgm:pt>
    <dgm:pt modelId="{51696726-7A67-4219-975C-7AC0AFE1EC01}" type="pres">
      <dgm:prSet presAssocID="{1315123D-338A-464A-BB98-ED922F4D9A76}" presName="rect2" presStyleLbl="node1" presStyleIdx="1" presStyleCnt="4">
        <dgm:presLayoutVars>
          <dgm:chMax val="0"/>
          <dgm:chPref val="0"/>
          <dgm:bulletEnabled val="1"/>
        </dgm:presLayoutVars>
      </dgm:prSet>
      <dgm:spPr/>
    </dgm:pt>
    <dgm:pt modelId="{3C6C9797-3D65-4A93-8298-AEEC97AC77B1}" type="pres">
      <dgm:prSet presAssocID="{1315123D-338A-464A-BB98-ED922F4D9A76}" presName="rect3" presStyleLbl="node1" presStyleIdx="2" presStyleCnt="4">
        <dgm:presLayoutVars>
          <dgm:chMax val="0"/>
          <dgm:chPref val="0"/>
          <dgm:bulletEnabled val="1"/>
        </dgm:presLayoutVars>
      </dgm:prSet>
      <dgm:spPr/>
    </dgm:pt>
    <dgm:pt modelId="{07147E21-9A1C-4CD7-8EC2-6A0D9CC2B83F}" type="pres">
      <dgm:prSet presAssocID="{1315123D-338A-464A-BB98-ED922F4D9A76}" presName="rect4" presStyleLbl="node1" presStyleIdx="3" presStyleCnt="4">
        <dgm:presLayoutVars>
          <dgm:chMax val="0"/>
          <dgm:chPref val="0"/>
          <dgm:bulletEnabled val="1"/>
        </dgm:presLayoutVars>
      </dgm:prSet>
      <dgm:spPr/>
    </dgm:pt>
  </dgm:ptLst>
  <dgm:cxnLst>
    <dgm:cxn modelId="{95832608-BBEB-4339-A056-A2D178DD0F83}" type="presOf" srcId="{9ACAE4D2-BF12-4B8B-8968-135ED450D912}" destId="{07147E21-9A1C-4CD7-8EC2-6A0D9CC2B83F}" srcOrd="0" destOrd="0" presId="urn:microsoft.com/office/officeart/2005/8/layout/matrix2"/>
    <dgm:cxn modelId="{CEF7F022-11EE-4A6F-A541-6E978F1FDBCF}" srcId="{1315123D-338A-464A-BB98-ED922F4D9A76}" destId="{9ACAE4D2-BF12-4B8B-8968-135ED450D912}" srcOrd="3" destOrd="0" parTransId="{566939EF-D5F3-4026-8161-416F36225D23}" sibTransId="{03F38A80-FFA4-4725-BB47-E3195F4B4845}"/>
    <dgm:cxn modelId="{0AC3B67D-B04E-4BCB-91FF-05D6DA359D41}" type="presOf" srcId="{0E183448-8BBF-440D-B30E-8E0A8813B6BA}" destId="{1B9CE438-7B49-4592-BD56-CAA02A8A08E4}" srcOrd="0" destOrd="0" presId="urn:microsoft.com/office/officeart/2005/8/layout/matrix2"/>
    <dgm:cxn modelId="{60FC6D96-A4B5-4CC7-9B70-DE6FBE1C8FB7}" srcId="{1315123D-338A-464A-BB98-ED922F4D9A76}" destId="{6C2FB11F-ECAC-42C5-97B4-ABAA3F566247}" srcOrd="2" destOrd="0" parTransId="{3604F5F0-994B-4578-B84A-46CC43372EE5}" sibTransId="{BAD2CC9F-7076-4D71-A3B4-319B9E2AE124}"/>
    <dgm:cxn modelId="{5254E4D8-1B1A-4C81-A5EE-44C1423CDBBB}" type="presOf" srcId="{1315123D-338A-464A-BB98-ED922F4D9A76}" destId="{71541893-AFE0-4F3F-B437-F1C9757D9123}" srcOrd="0" destOrd="0" presId="urn:microsoft.com/office/officeart/2005/8/layout/matrix2"/>
    <dgm:cxn modelId="{4B2836E1-D2CA-488B-AFDA-D975C2EDBE5F}" srcId="{1315123D-338A-464A-BB98-ED922F4D9A76}" destId="{0E183448-8BBF-440D-B30E-8E0A8813B6BA}" srcOrd="0" destOrd="0" parTransId="{44C2E5AA-84D5-45F9-A9BD-AA8D84E14C11}" sibTransId="{683EE417-485E-4295-A8CE-56E52A90B225}"/>
    <dgm:cxn modelId="{1CF3FCED-D0EF-4E49-A49D-914C5E8D9E5D}" srcId="{1315123D-338A-464A-BB98-ED922F4D9A76}" destId="{205A9C44-3C03-4796-9609-AC3B16F37432}" srcOrd="1" destOrd="0" parTransId="{8827315D-1593-4310-BCEE-2ADD24C2ABC8}" sibTransId="{EE3F1698-D2E3-42E1-A65A-3B122EF0573B}"/>
    <dgm:cxn modelId="{ECDD2EEE-BA21-4108-B946-94D3096E2335}" type="presOf" srcId="{205A9C44-3C03-4796-9609-AC3B16F37432}" destId="{51696726-7A67-4219-975C-7AC0AFE1EC01}" srcOrd="0" destOrd="0" presId="urn:microsoft.com/office/officeart/2005/8/layout/matrix2"/>
    <dgm:cxn modelId="{333C8FF8-9313-4D7C-A56F-1ECB197B1803}" type="presOf" srcId="{6C2FB11F-ECAC-42C5-97B4-ABAA3F566247}" destId="{3C6C9797-3D65-4A93-8298-AEEC97AC77B1}" srcOrd="0" destOrd="0" presId="urn:microsoft.com/office/officeart/2005/8/layout/matrix2"/>
    <dgm:cxn modelId="{D7789597-8F71-4BE7-9FFF-71AFDF7525A2}" type="presParOf" srcId="{71541893-AFE0-4F3F-B437-F1C9757D9123}" destId="{2F1F691A-D7DA-468A-99E9-D44BCC3A64DF}" srcOrd="0" destOrd="0" presId="urn:microsoft.com/office/officeart/2005/8/layout/matrix2"/>
    <dgm:cxn modelId="{62F0FD7D-DF8B-4543-9D85-8225679E3BBC}" type="presParOf" srcId="{71541893-AFE0-4F3F-B437-F1C9757D9123}" destId="{1B9CE438-7B49-4592-BD56-CAA02A8A08E4}" srcOrd="1" destOrd="0" presId="urn:microsoft.com/office/officeart/2005/8/layout/matrix2"/>
    <dgm:cxn modelId="{4662FB24-EA56-46A5-BC37-5C9E8EA40E89}" type="presParOf" srcId="{71541893-AFE0-4F3F-B437-F1C9757D9123}" destId="{51696726-7A67-4219-975C-7AC0AFE1EC01}" srcOrd="2" destOrd="0" presId="urn:microsoft.com/office/officeart/2005/8/layout/matrix2"/>
    <dgm:cxn modelId="{37F8EA99-CFAB-48C8-B503-36C25B359DB2}" type="presParOf" srcId="{71541893-AFE0-4F3F-B437-F1C9757D9123}" destId="{3C6C9797-3D65-4A93-8298-AEEC97AC77B1}" srcOrd="3" destOrd="0" presId="urn:microsoft.com/office/officeart/2005/8/layout/matrix2"/>
    <dgm:cxn modelId="{E2E44D92-9661-4E8E-8723-3ABA93DC802F}" type="presParOf" srcId="{71541893-AFE0-4F3F-B437-F1C9757D9123}" destId="{07147E21-9A1C-4CD7-8EC2-6A0D9CC2B83F}" srcOrd="4" destOrd="0" presId="urn:microsoft.com/office/officeart/2005/8/layout/matrix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F1F691A-D7DA-468A-99E9-D44BCC3A64DF}">
      <dsp:nvSpPr>
        <dsp:cNvPr id="0" name=""/>
        <dsp:cNvSpPr/>
      </dsp:nvSpPr>
      <dsp:spPr>
        <a:xfrm>
          <a:off x="-46365" y="0"/>
          <a:ext cx="5749080" cy="3548180"/>
        </a:xfrm>
        <a:prstGeom prst="quadArrow">
          <a:avLst>
            <a:gd name="adj1" fmla="val 2000"/>
            <a:gd name="adj2" fmla="val 4000"/>
            <a:gd name="adj3" fmla="val 5000"/>
          </a:avLst>
        </a:prstGeom>
        <a:solidFill>
          <a:schemeClr val="dk2">
            <a:tint val="40000"/>
            <a:hueOff val="0"/>
            <a:satOff val="0"/>
            <a:lumOff val="0"/>
            <a:alphaOff val="0"/>
          </a:schemeClr>
        </a:solidFill>
        <a:ln w="6350" cap="flat" cmpd="sng" algn="ctr">
          <a:solidFill>
            <a:schemeClr val="dk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-300000" prstMaterial="plastic"/>
      </dsp:spPr>
      <dsp:style>
        <a:lnRef idx="1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1B9CE438-7B49-4592-BD56-CAA02A8A08E4}">
      <dsp:nvSpPr>
        <dsp:cNvPr id="0" name=""/>
        <dsp:cNvSpPr/>
      </dsp:nvSpPr>
      <dsp:spPr>
        <a:xfrm>
          <a:off x="1284716" y="230631"/>
          <a:ext cx="1419272" cy="1419272"/>
        </a:xfrm>
        <a:prstGeom prst="roundRect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1440" tIns="91440" rIns="91440" bIns="914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72.360%</a:t>
          </a:r>
        </a:p>
      </dsp:txBody>
      <dsp:txXfrm>
        <a:off x="1353999" y="299914"/>
        <a:ext cx="1280706" cy="1280706"/>
      </dsp:txXfrm>
    </dsp:sp>
    <dsp:sp modelId="{51696726-7A67-4219-975C-7AC0AFE1EC01}">
      <dsp:nvSpPr>
        <dsp:cNvPr id="0" name=""/>
        <dsp:cNvSpPr/>
      </dsp:nvSpPr>
      <dsp:spPr>
        <a:xfrm>
          <a:off x="2952361" y="230631"/>
          <a:ext cx="1419272" cy="1419272"/>
        </a:xfrm>
        <a:prstGeom prst="roundRect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1440" tIns="91440" rIns="91440" bIns="914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27.639%</a:t>
          </a:r>
        </a:p>
      </dsp:txBody>
      <dsp:txXfrm>
        <a:off x="3021644" y="299914"/>
        <a:ext cx="1280706" cy="1280706"/>
      </dsp:txXfrm>
    </dsp:sp>
    <dsp:sp modelId="{3C6C9797-3D65-4A93-8298-AEEC97AC77B1}">
      <dsp:nvSpPr>
        <dsp:cNvPr id="0" name=""/>
        <dsp:cNvSpPr/>
      </dsp:nvSpPr>
      <dsp:spPr>
        <a:xfrm>
          <a:off x="1284716" y="1898276"/>
          <a:ext cx="1419272" cy="1419272"/>
        </a:xfrm>
        <a:prstGeom prst="roundRect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1440" tIns="91440" rIns="91440" bIns="914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74.434%</a:t>
          </a:r>
        </a:p>
      </dsp:txBody>
      <dsp:txXfrm>
        <a:off x="1353999" y="1967559"/>
        <a:ext cx="1280706" cy="1280706"/>
      </dsp:txXfrm>
    </dsp:sp>
    <dsp:sp modelId="{07147E21-9A1C-4CD7-8EC2-6A0D9CC2B83F}">
      <dsp:nvSpPr>
        <dsp:cNvPr id="0" name=""/>
        <dsp:cNvSpPr/>
      </dsp:nvSpPr>
      <dsp:spPr>
        <a:xfrm>
          <a:off x="2952361" y="1898276"/>
          <a:ext cx="1419272" cy="1419272"/>
        </a:xfrm>
        <a:prstGeom prst="roundRect">
          <a:avLst/>
        </a:prstGeom>
        <a:solidFill>
          <a:schemeClr val="dk2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1440" tIns="91440" rIns="91440" bIns="914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25.569%</a:t>
          </a:r>
        </a:p>
      </dsp:txBody>
      <dsp:txXfrm>
        <a:off x="3021644" y="1967559"/>
        <a:ext cx="1280706" cy="128070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matrix2">
  <dgm:title val=""/>
  <dgm:desc val=""/>
  <dgm:catLst>
    <dgm:cat type="matrix" pri="3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0" destOrd="0"/>
        <dgm:cxn modelId="8" srcId="0" destId="4" srcOrd="1" destOrd="0"/>
      </dgm:cxnLst>
      <dgm:bg/>
      <dgm:whole/>
    </dgm:dataModel>
  </dgm:sampData>
  <dgm:styleData useDef="1">
    <dgm:dataModel>
      <dgm:ptLst/>
      <dgm:bg/>
      <dgm:whole/>
    </dgm:dataModel>
  </dgm:styleData>
  <dgm:clrData useDef="1">
    <dgm:dataModel>
      <dgm:ptLst/>
      <dgm:bg/>
      <dgm:whole/>
    </dgm:dataModel>
  </dgm:clrData>
  <dgm:layoutNode name="matrix">
    <dgm:varLst>
      <dgm:chMax val="1"/>
      <dgm:dir/>
      <dgm:resizeHandles val="exact"/>
    </dgm:varLst>
    <dgm:alg type="composite">
      <dgm:param type="ar" val="1"/>
    </dgm:alg>
    <dgm:shape xmlns:r="http://schemas.openxmlformats.org/officeDocument/2006/relationships" r:blip="">
      <dgm:adjLst/>
    </dgm:shape>
    <dgm:presOf/>
    <dgm:choose name="Name0">
      <dgm:if name="Name1" func="var" arg="dir" op="equ" val="norm">
        <dgm:constrLst>
          <dgm:constr type="primFontSz" for="ch" ptType="node" op="equ" val="65"/>
          <dgm:constr type="w" for="ch" forName="axisShape" refType="w"/>
          <dgm:constr type="h" for="ch" forName="axisShape" refType="h"/>
          <dgm:constr type="w" for="ch" forName="rect1" refType="w" fact="0.4"/>
          <dgm:constr type="h" for="ch" forName="rect1" refType="w" fact="0.4"/>
          <dgm:constr type="l" for="ch" forName="rect1" refType="w" fact="0.065"/>
          <dgm:constr type="t" for="ch" forName="rect1" refType="h" fact="0.065"/>
          <dgm:constr type="w" for="ch" forName="rect2" refType="w" fact="0.4"/>
          <dgm:constr type="h" for="ch" forName="rect2" refType="h" fact="0.4"/>
          <dgm:constr type="r" for="ch" forName="rect2" refType="w" fact="0.935"/>
          <dgm:constr type="t" for="ch" forName="rect2" refType="h" fact="0.065"/>
          <dgm:constr type="w" for="ch" forName="rect3" refType="w" fact="0.4"/>
          <dgm:constr type="h" for="ch" forName="rect3" refType="w" fact="0.4"/>
          <dgm:constr type="l" for="ch" forName="rect3" refType="w" fact="0.065"/>
          <dgm:constr type="b" for="ch" forName="rect3" refType="h" fact="0.935"/>
          <dgm:constr type="w" for="ch" forName="rect4" refType="w" fact="0.4"/>
          <dgm:constr type="h" for="ch" forName="rect4" refType="h" fact="0.4"/>
          <dgm:constr type="r" for="ch" forName="rect4" refType="w" fact="0.935"/>
          <dgm:constr type="b" for="ch" forName="rect4" refType="h" fact="0.935"/>
        </dgm:constrLst>
      </dgm:if>
      <dgm:else name="Name2">
        <dgm:constrLst>
          <dgm:constr type="primFontSz" for="ch" ptType="node" op="equ" val="65"/>
          <dgm:constr type="w" for="ch" forName="axisShape" refType="w"/>
          <dgm:constr type="h" for="ch" forName="axisShape" refType="h"/>
          <dgm:constr type="w" for="ch" forName="rect1" refType="w" fact="0.4"/>
          <dgm:constr type="h" for="ch" forName="rect1" refType="w" fact="0.4"/>
          <dgm:constr type="r" for="ch" forName="rect1" refType="w" fact="0.935"/>
          <dgm:constr type="t" for="ch" forName="rect1" refType="h" fact="0.065"/>
          <dgm:constr type="w" for="ch" forName="rect2" refType="w" fact="0.4"/>
          <dgm:constr type="h" for="ch" forName="rect2" refType="h" fact="0.4"/>
          <dgm:constr type="l" for="ch" forName="rect2" refType="w" fact="0.065"/>
          <dgm:constr type="t" for="ch" forName="rect2" refType="h" fact="0.065"/>
          <dgm:constr type="w" for="ch" forName="rect3" refType="w" fact="0.4"/>
          <dgm:constr type="h" for="ch" forName="rect3" refType="w" fact="0.4"/>
          <dgm:constr type="r" for="ch" forName="rect3" refType="w" fact="0.935"/>
          <dgm:constr type="b" for="ch" forName="rect3" refType="h" fact="0.935"/>
          <dgm:constr type="w" for="ch" forName="rect4" refType="w" fact="0.4"/>
          <dgm:constr type="h" for="ch" forName="rect4" refType="h" fact="0.4"/>
          <dgm:constr type="l" for="ch" forName="rect4" refType="w" fact="0.065"/>
          <dgm:constr type="b" for="ch" forName="rect4" refType="h" fact="0.935"/>
        </dgm:constrLst>
      </dgm:else>
    </dgm:choose>
    <dgm:ruleLst/>
    <dgm:choose name="Name3">
      <dgm:if name="Name4" axis="ch" ptType="node" func="cnt" op="gte" val="1">
        <dgm:layoutNode name="axisShape" styleLbl="bgShp">
          <dgm:alg type="sp"/>
          <dgm:shape xmlns:r="http://schemas.openxmlformats.org/officeDocument/2006/relationships" type="quadArrow" r:blip="">
            <dgm:adjLst>
              <dgm:adj idx="1" val="0.02"/>
              <dgm:adj idx="2" val="0.04"/>
              <dgm:adj idx="3" val="0.05"/>
            </dgm:adjLst>
          </dgm:shape>
          <dgm:presOf/>
          <dgm:constrLst/>
          <dgm:ruleLst/>
        </dgm:layoutNode>
        <dgm:layoutNode name="rect1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1 1" cnt="1 0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rect2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2 1" cnt="1 0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rect3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3 1" cnt="1 0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rect4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4 1" cnt="1 0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</dgm:if>
      <dgm:else name="Name5"/>
    </dgm:choos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3#1">
  <dgm:title val=""/>
  <dgm:desc val=""/>
  <dgm:catLst>
    <dgm:cat type="3D" pri="11300"/>
  </dgm:catLst>
  <dgm:scene3d>
    <a:camera prst="orthographicFront"/>
    <a:lightRig rig="threePt" dir="t"/>
  </dgm:scene3d>
  <dgm:styleLbl name="node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clear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182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>
        <a:rot lat="0" lon="0" rev="0"/>
      </a:camera>
      <a:lightRig rig="contrasting" dir="t">
        <a:rot lat="0" lon="0" rev="1200000"/>
      </a:lightRig>
    </dgm:scene3d>
    <dgm:sp3d z="10000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>
        <a:rot lat="0" lon="0" rev="0"/>
      </a:camera>
      <a:lightRig rig="contrasting" dir="t">
        <a:rot lat="0" lon="0" rev="1200000"/>
      </a:lightRig>
    </dgm:scene3d>
    <dgm:sp3d z="-300000" prstMaterial="plastic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00800" h="1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>
        <a:rot lat="0" lon="0" rev="0"/>
      </a:camera>
      <a:lightRig rig="contrasting" dir="t">
        <a:rot lat="0" lon="0" rev="1200000"/>
      </a:lightRig>
    </dgm:scene3d>
    <dgm:sp3d z="-1524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hyperlink" Target="#'Financial statement'!A1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Financial statement'!A1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Financial statement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393159</xdr:colOff>
      <xdr:row>103</xdr:row>
      <xdr:rowOff>145551</xdr:rowOff>
    </xdr:from>
    <xdr:to>
      <xdr:col>5</xdr:col>
      <xdr:colOff>1378449</xdr:colOff>
      <xdr:row>123</xdr:row>
      <xdr:rowOff>51371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A0B4DBB7-2727-D1FC-3D42-F49AFD5B8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</xdr:col>
      <xdr:colOff>599325</xdr:colOff>
      <xdr:row>105</xdr:row>
      <xdr:rowOff>0</xdr:rowOff>
    </xdr:from>
    <xdr:to>
      <xdr:col>2</xdr:col>
      <xdr:colOff>1583934</xdr:colOff>
      <xdr:row>112</xdr:row>
      <xdr:rowOff>68494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4C2A815-B7F8-287B-9D3A-0D03C98D6AAC}"/>
            </a:ext>
          </a:extLst>
        </xdr:cNvPr>
        <xdr:cNvSpPr txBox="1"/>
      </xdr:nvSpPr>
      <xdr:spPr>
        <a:xfrm>
          <a:off x="1207213" y="25265865"/>
          <a:ext cx="1592496" cy="13270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25.49%</a:t>
          </a:r>
        </a:p>
        <a:p>
          <a:pPr algn="ctr"/>
          <a:r>
            <a:rPr lang="en-US" sz="1400" b="1"/>
            <a:t>14.23%</a:t>
          </a:r>
        </a:p>
        <a:p>
          <a:pPr algn="ctr"/>
          <a:r>
            <a:rPr lang="en-US" sz="1400" b="1"/>
            <a:t>13.392%</a:t>
          </a:r>
        </a:p>
        <a:p>
          <a:pPr algn="ctr"/>
          <a:r>
            <a:rPr lang="en-US" sz="1400" b="1"/>
            <a:t>11.106%</a:t>
          </a:r>
        </a:p>
        <a:p>
          <a:pPr algn="ctr"/>
          <a:r>
            <a:rPr lang="en-US" sz="1400" b="1"/>
            <a:t>7.557%</a:t>
          </a:r>
        </a:p>
        <a:p>
          <a:pPr algn="ctr"/>
          <a:r>
            <a:rPr lang="en-US" sz="1400" b="1"/>
            <a:t>0.5877%</a:t>
          </a:r>
        </a:p>
      </xdr:txBody>
    </xdr:sp>
    <xdr:clientData/>
  </xdr:twoCellAnchor>
  <xdr:twoCellAnchor>
    <xdr:from>
      <xdr:col>5</xdr:col>
      <xdr:colOff>289389</xdr:colOff>
      <xdr:row>114</xdr:row>
      <xdr:rowOff>126711</xdr:rowOff>
    </xdr:from>
    <xdr:to>
      <xdr:col>6</xdr:col>
      <xdr:colOff>255142</xdr:colOff>
      <xdr:row>122</xdr:row>
      <xdr:rowOff>136986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EF7B05F-0557-4B09-940F-5992FD01395F}"/>
            </a:ext>
          </a:extLst>
        </xdr:cNvPr>
        <xdr:cNvSpPr txBox="1"/>
      </xdr:nvSpPr>
      <xdr:spPr>
        <a:xfrm>
          <a:off x="6179906" y="27010756"/>
          <a:ext cx="1532562" cy="14486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21.983%</a:t>
          </a:r>
        </a:p>
        <a:p>
          <a:pPr algn="ctr"/>
          <a:r>
            <a:rPr lang="en-US" sz="1400" b="1"/>
            <a:t>1.928%</a:t>
          </a:r>
        </a:p>
        <a:p>
          <a:pPr algn="ctr"/>
          <a:r>
            <a:rPr lang="en-US" sz="1400" b="1"/>
            <a:t>1.227%</a:t>
          </a:r>
        </a:p>
        <a:p>
          <a:pPr algn="ctr"/>
          <a:r>
            <a:rPr lang="en-US" sz="1400" b="1"/>
            <a:t>0.264%</a:t>
          </a:r>
        </a:p>
        <a:p>
          <a:pPr algn="ctr"/>
          <a:r>
            <a:rPr lang="en-US" sz="1400" b="1"/>
            <a:t>0.165%</a:t>
          </a:r>
        </a:p>
      </xdr:txBody>
    </xdr:sp>
    <xdr:clientData/>
  </xdr:twoCellAnchor>
  <xdr:twoCellAnchor>
    <xdr:from>
      <xdr:col>2</xdr:col>
      <xdr:colOff>5137</xdr:colOff>
      <xdr:row>114</xdr:row>
      <xdr:rowOff>111303</xdr:rowOff>
    </xdr:from>
    <xdr:to>
      <xdr:col>2</xdr:col>
      <xdr:colOff>1558247</xdr:colOff>
      <xdr:row>122</xdr:row>
      <xdr:rowOff>128427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A0D2CB7-5204-4C69-B608-0722F79C4509}"/>
            </a:ext>
          </a:extLst>
        </xdr:cNvPr>
        <xdr:cNvSpPr txBox="1"/>
      </xdr:nvSpPr>
      <xdr:spPr>
        <a:xfrm>
          <a:off x="1220912" y="26995348"/>
          <a:ext cx="1553110" cy="14555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29.667%</a:t>
          </a:r>
        </a:p>
        <a:p>
          <a:pPr algn="ctr"/>
          <a:r>
            <a:rPr lang="en-US" sz="1400" b="1"/>
            <a:t>27.234%</a:t>
          </a:r>
        </a:p>
        <a:p>
          <a:pPr algn="ctr"/>
          <a:r>
            <a:rPr lang="en-US" sz="1400" b="1"/>
            <a:t>13.84%</a:t>
          </a:r>
        </a:p>
        <a:p>
          <a:pPr algn="ctr"/>
          <a:r>
            <a:rPr lang="en-US" sz="1400" b="1"/>
            <a:t>2.401%</a:t>
          </a:r>
        </a:p>
        <a:p>
          <a:pPr algn="ctr"/>
          <a:r>
            <a:rPr lang="en-US" sz="1400" b="1"/>
            <a:t>0.163%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1.117%</a:t>
          </a:r>
        </a:p>
        <a:p>
          <a:pPr algn="ctr"/>
          <a:endParaRPr lang="en-US" sz="1400" b="1"/>
        </a:p>
      </xdr:txBody>
    </xdr:sp>
    <xdr:clientData/>
  </xdr:twoCellAnchor>
  <xdr:twoCellAnchor>
    <xdr:from>
      <xdr:col>5</xdr:col>
      <xdr:colOff>311649</xdr:colOff>
      <xdr:row>105</xdr:row>
      <xdr:rowOff>3425</xdr:rowOff>
    </xdr:from>
    <xdr:to>
      <xdr:col>6</xdr:col>
      <xdr:colOff>277402</xdr:colOff>
      <xdr:row>112</xdr:row>
      <xdr:rowOff>71919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8B00A9D-3015-4D09-8032-07203971CEC0}"/>
            </a:ext>
          </a:extLst>
        </xdr:cNvPr>
        <xdr:cNvSpPr txBox="1"/>
      </xdr:nvSpPr>
      <xdr:spPr>
        <a:xfrm>
          <a:off x="6202166" y="25269290"/>
          <a:ext cx="1532562" cy="13270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10.7012%    0.198%</a:t>
          </a:r>
        </a:p>
        <a:p>
          <a:r>
            <a:rPr lang="en-US" sz="1200" b="1"/>
            <a:t>5.589%         0.0614%</a:t>
          </a:r>
        </a:p>
        <a:p>
          <a:r>
            <a:rPr lang="en-US" sz="1200" b="1"/>
            <a:t>5.165%        0.0328%</a:t>
          </a:r>
        </a:p>
        <a:p>
          <a:r>
            <a:rPr lang="en-US" sz="1200" b="1"/>
            <a:t>1.886%        0.0129%</a:t>
          </a:r>
        </a:p>
        <a:p>
          <a:r>
            <a:rPr lang="en-US" sz="1200" b="1"/>
            <a:t>1.686%</a:t>
          </a:r>
        </a:p>
        <a:p>
          <a:r>
            <a:rPr lang="en-US" sz="1200" b="1"/>
            <a:t>1.25%</a:t>
          </a:r>
        </a:p>
        <a:p>
          <a:r>
            <a:rPr lang="en-US" sz="1200" b="1"/>
            <a:t>1.0515%</a:t>
          </a:r>
        </a:p>
        <a:p>
          <a:endParaRPr lang="en-US" sz="1200" b="1"/>
        </a:p>
      </xdr:txBody>
    </xdr:sp>
    <xdr:clientData/>
  </xdr:twoCellAnchor>
  <xdr:twoCellAnchor>
    <xdr:from>
      <xdr:col>0</xdr:col>
      <xdr:colOff>154112</xdr:colOff>
      <xdr:row>129</xdr:row>
      <xdr:rowOff>77056</xdr:rowOff>
    </xdr:from>
    <xdr:to>
      <xdr:col>0</xdr:col>
      <xdr:colOff>505146</xdr:colOff>
      <xdr:row>129</xdr:row>
      <xdr:rowOff>256854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ACEF520A-615A-07DC-0072-213731C671EC}"/>
            </a:ext>
          </a:extLst>
        </xdr:cNvPr>
        <xdr:cNvSpPr/>
      </xdr:nvSpPr>
      <xdr:spPr>
        <a:xfrm>
          <a:off x="154112" y="29581011"/>
          <a:ext cx="351034" cy="17979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126714</xdr:colOff>
      <xdr:row>131</xdr:row>
      <xdr:rowOff>66782</xdr:rowOff>
    </xdr:from>
    <xdr:to>
      <xdr:col>0</xdr:col>
      <xdr:colOff>477748</xdr:colOff>
      <xdr:row>131</xdr:row>
      <xdr:rowOff>246580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25958817-8E2B-4C72-8865-B6ADB53DE35C}"/>
            </a:ext>
          </a:extLst>
        </xdr:cNvPr>
        <xdr:cNvSpPr/>
      </xdr:nvSpPr>
      <xdr:spPr>
        <a:xfrm>
          <a:off x="126714" y="30101569"/>
          <a:ext cx="351034" cy="17979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51372</xdr:colOff>
      <xdr:row>0</xdr:row>
      <xdr:rowOff>0</xdr:rowOff>
    </xdr:from>
    <xdr:to>
      <xdr:col>9</xdr:col>
      <xdr:colOff>1309956</xdr:colOff>
      <xdr:row>3</xdr:row>
      <xdr:rowOff>0</xdr:rowOff>
    </xdr:to>
    <xdr:sp macro="" textlink="">
      <xdr:nvSpPr>
        <xdr:cNvPr id="9" name="TextBox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D5F700F-0B47-470B-BFAF-25D646402DEF}"/>
            </a:ext>
          </a:extLst>
        </xdr:cNvPr>
        <xdr:cNvSpPr txBox="1"/>
      </xdr:nvSpPr>
      <xdr:spPr>
        <a:xfrm>
          <a:off x="10959102" y="0"/>
          <a:ext cx="1258584" cy="590764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rgbClr val="FF0000"/>
              </a:solidFill>
            </a:rPr>
            <a:t>Financial statement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17</xdr:row>
      <xdr:rowOff>15240</xdr:rowOff>
    </xdr:from>
    <xdr:to>
      <xdr:col>13</xdr:col>
      <xdr:colOff>0</xdr:colOff>
      <xdr:row>36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76D9C5-666B-0F15-34BE-BD3443FF3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82</xdr:row>
      <xdr:rowOff>186690</xdr:rowOff>
    </xdr:from>
    <xdr:to>
      <xdr:col>13</xdr:col>
      <xdr:colOff>15240</xdr:colOff>
      <xdr:row>107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0D12C2-172C-5EA2-CADD-474782913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533400</xdr:colOff>
      <xdr:row>0</xdr:row>
      <xdr:rowOff>7620</xdr:rowOff>
    </xdr:from>
    <xdr:to>
      <xdr:col>15</xdr:col>
      <xdr:colOff>396240</xdr:colOff>
      <xdr:row>2</xdr:row>
      <xdr:rowOff>144780</xdr:rowOff>
    </xdr:to>
    <xdr:sp macro="" textlink="">
      <xdr:nvSpPr>
        <xdr:cNvPr id="4" name="TextBox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68CD425-B95A-FB84-65D4-34A589309BC5}"/>
            </a:ext>
          </a:extLst>
        </xdr:cNvPr>
        <xdr:cNvSpPr txBox="1"/>
      </xdr:nvSpPr>
      <xdr:spPr>
        <a:xfrm>
          <a:off x="11643360" y="7620"/>
          <a:ext cx="1082040" cy="53340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rgbClr val="FF0000"/>
              </a:solidFill>
            </a:rPr>
            <a:t>Financial statement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3312</xdr:colOff>
      <xdr:row>9</xdr:row>
      <xdr:rowOff>9939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BC9F4B8-3171-44E7-9B37-C33C06F9F47C}"/>
            </a:ext>
          </a:extLst>
        </xdr:cNvPr>
        <xdr:cNvSpPr txBox="1"/>
      </xdr:nvSpPr>
      <xdr:spPr>
        <a:xfrm>
          <a:off x="5565912" y="244833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8</xdr:col>
      <xdr:colOff>441960</xdr:colOff>
      <xdr:row>0</xdr:row>
      <xdr:rowOff>0</xdr:rowOff>
    </xdr:from>
    <xdr:to>
      <xdr:col>9</xdr:col>
      <xdr:colOff>198120</xdr:colOff>
      <xdr:row>1</xdr:row>
      <xdr:rowOff>220980</xdr:rowOff>
    </xdr:to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06037D-1DD2-314B-B261-3104555B56FC}"/>
            </a:ext>
          </a:extLst>
        </xdr:cNvPr>
        <xdr:cNvSpPr txBox="1"/>
      </xdr:nvSpPr>
      <xdr:spPr>
        <a:xfrm>
          <a:off x="12252960" y="0"/>
          <a:ext cx="1005840" cy="59436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rgbClr val="FF0000"/>
              </a:solidFill>
            </a:rPr>
            <a:t>Financial statement</a:t>
          </a:r>
        </a:p>
      </xdr:txBody>
    </xdr:sp>
    <xdr:clientData/>
  </xdr:twoCellAnchor>
  <xdr:oneCellAnchor>
    <xdr:from>
      <xdr:col>3</xdr:col>
      <xdr:colOff>3312</xdr:colOff>
      <xdr:row>12</xdr:row>
      <xdr:rowOff>9939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91D0A3-E92A-44A4-86C2-CD4D9DDCECF5}"/>
            </a:ext>
          </a:extLst>
        </xdr:cNvPr>
        <xdr:cNvSpPr txBox="1"/>
      </xdr:nvSpPr>
      <xdr:spPr>
        <a:xfrm>
          <a:off x="5565912" y="305793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5B285CA-3284-4BCA-9F2C-E35B485A4AC0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71C3-F2F7-4C8B-87D9-FEAE8F493EBE}">
  <dimension ref="A1:I57"/>
  <sheetViews>
    <sheetView tabSelected="1" zoomScaleNormal="100" workbookViewId="0">
      <selection sqref="A1:E1"/>
    </sheetView>
  </sheetViews>
  <sheetFormatPr defaultRowHeight="14.4" x14ac:dyDescent="0.3"/>
  <cols>
    <col min="5" max="9" width="21.6640625" bestFit="1" customWidth="1"/>
  </cols>
  <sheetData>
    <row r="1" spans="1:9" ht="15.6" x14ac:dyDescent="0.3">
      <c r="A1" s="101" t="s">
        <v>0</v>
      </c>
      <c r="B1" s="101"/>
      <c r="C1" s="101"/>
      <c r="D1" s="101"/>
      <c r="E1" s="101"/>
      <c r="F1" s="99">
        <v>45657</v>
      </c>
      <c r="G1" s="99">
        <v>45291</v>
      </c>
      <c r="H1" s="99">
        <v>44926</v>
      </c>
      <c r="I1" s="99">
        <v>44561</v>
      </c>
    </row>
    <row r="2" spans="1:9" ht="15.6" x14ac:dyDescent="0.3">
      <c r="A2" s="101" t="s">
        <v>106</v>
      </c>
      <c r="B2" s="101"/>
      <c r="C2" s="101"/>
      <c r="D2" s="101"/>
      <c r="E2" s="101"/>
      <c r="F2" s="99"/>
      <c r="G2" s="99"/>
      <c r="H2" s="99"/>
      <c r="I2" s="99"/>
    </row>
    <row r="3" spans="1:9" ht="15.6" x14ac:dyDescent="0.3">
      <c r="A3" s="101" t="s">
        <v>1</v>
      </c>
      <c r="B3" s="101"/>
      <c r="C3" s="101"/>
      <c r="D3" s="101"/>
      <c r="E3" s="101"/>
      <c r="F3" s="100"/>
      <c r="G3" s="100"/>
      <c r="H3" s="100"/>
      <c r="I3" s="100"/>
    </row>
    <row r="4" spans="1:9" ht="15.6" x14ac:dyDescent="0.3">
      <c r="A4" s="2" t="s">
        <v>92</v>
      </c>
      <c r="B4" s="2"/>
      <c r="C4" s="2"/>
      <c r="D4" s="2"/>
      <c r="E4" s="2"/>
      <c r="F4" s="3">
        <v>13600123</v>
      </c>
      <c r="G4" s="3">
        <v>7717121</v>
      </c>
      <c r="H4" s="4">
        <v>5207530</v>
      </c>
      <c r="I4" s="4">
        <v>6224424</v>
      </c>
    </row>
    <row r="5" spans="1:9" ht="15.6" x14ac:dyDescent="0.3">
      <c r="A5" s="10" t="s">
        <v>93</v>
      </c>
      <c r="B5" s="10"/>
      <c r="C5" s="10"/>
      <c r="D5" s="10"/>
      <c r="E5" s="10"/>
      <c r="F5" s="3">
        <v>-9113438</v>
      </c>
      <c r="G5" s="3">
        <v>-5085950</v>
      </c>
      <c r="H5" s="4">
        <v>-3193423</v>
      </c>
      <c r="I5" s="4">
        <v>-3895402</v>
      </c>
    </row>
    <row r="6" spans="1:9" ht="15.6" x14ac:dyDescent="0.3">
      <c r="A6" s="10" t="s">
        <v>94</v>
      </c>
      <c r="B6" s="10"/>
      <c r="C6" s="10"/>
      <c r="D6" s="10"/>
      <c r="E6" s="10"/>
      <c r="F6" s="3">
        <v>4486685</v>
      </c>
      <c r="G6" s="3">
        <v>2631171</v>
      </c>
      <c r="H6" s="4">
        <v>2014107</v>
      </c>
      <c r="I6" s="4">
        <v>2329022</v>
      </c>
    </row>
    <row r="7" spans="1:9" ht="15.6" x14ac:dyDescent="0.3">
      <c r="A7" s="10" t="s">
        <v>95</v>
      </c>
      <c r="B7" s="10"/>
      <c r="C7" s="10"/>
      <c r="D7" s="10"/>
      <c r="E7" s="10"/>
      <c r="F7" s="3"/>
      <c r="G7" s="3"/>
      <c r="H7" s="4"/>
      <c r="I7" s="4"/>
    </row>
    <row r="8" spans="1:9" ht="15.6" x14ac:dyDescent="0.3">
      <c r="A8" s="10" t="s">
        <v>96</v>
      </c>
      <c r="B8" s="10"/>
      <c r="C8" s="10"/>
      <c r="D8" s="10"/>
      <c r="E8" s="10"/>
      <c r="F8" s="22">
        <v>515478</v>
      </c>
      <c r="G8" s="22">
        <v>264254</v>
      </c>
      <c r="H8" s="23"/>
      <c r="I8" s="23"/>
    </row>
    <row r="9" spans="1:9" ht="15.6" x14ac:dyDescent="0.3">
      <c r="A9" s="25" t="s">
        <v>97</v>
      </c>
      <c r="B9" s="25"/>
      <c r="C9" s="25"/>
      <c r="D9" s="25"/>
      <c r="E9" s="25"/>
      <c r="F9" s="22">
        <v>2092459</v>
      </c>
      <c r="G9" s="22">
        <v>1167865</v>
      </c>
      <c r="H9" s="23">
        <v>886087</v>
      </c>
      <c r="I9" s="23">
        <v>936434</v>
      </c>
    </row>
    <row r="10" spans="1:9" ht="15.6" x14ac:dyDescent="0.3">
      <c r="A10" s="25" t="s">
        <v>98</v>
      </c>
      <c r="B10" s="25"/>
      <c r="C10" s="25"/>
      <c r="D10" s="25"/>
      <c r="E10" s="25"/>
      <c r="F10" s="22">
        <v>173669</v>
      </c>
      <c r="G10" s="22">
        <v>174799</v>
      </c>
      <c r="H10" s="23">
        <v>105251</v>
      </c>
      <c r="I10" s="23">
        <v>80340</v>
      </c>
    </row>
    <row r="11" spans="1:9" ht="15.6" x14ac:dyDescent="0.3">
      <c r="A11" s="10" t="s">
        <v>99</v>
      </c>
      <c r="B11" s="10"/>
      <c r="C11" s="10"/>
      <c r="D11" s="10"/>
      <c r="E11" s="10"/>
      <c r="F11" s="22">
        <v>2781606</v>
      </c>
      <c r="G11" s="22">
        <v>1606918</v>
      </c>
      <c r="H11" s="23">
        <v>991338</v>
      </c>
      <c r="I11" s="23">
        <v>1016774</v>
      </c>
    </row>
    <row r="12" spans="1:9" ht="15.6" x14ac:dyDescent="0.3">
      <c r="A12" s="25" t="s">
        <v>100</v>
      </c>
      <c r="B12" s="25"/>
      <c r="C12" s="25"/>
      <c r="D12" s="25"/>
      <c r="E12" s="25"/>
      <c r="F12" s="3">
        <v>1705079</v>
      </c>
      <c r="G12" s="3">
        <v>1024253</v>
      </c>
      <c r="H12" s="4">
        <v>1022769</v>
      </c>
      <c r="I12" s="4">
        <v>1312248</v>
      </c>
    </row>
    <row r="13" spans="1:9" ht="15.6" x14ac:dyDescent="0.3">
      <c r="A13" s="10" t="s">
        <v>101</v>
      </c>
      <c r="B13" s="10"/>
      <c r="C13" s="10"/>
      <c r="D13" s="10"/>
      <c r="E13" s="10"/>
      <c r="F13" s="3">
        <v>411752</v>
      </c>
      <c r="G13" s="3">
        <v>166719</v>
      </c>
      <c r="H13" s="4">
        <v>229976</v>
      </c>
      <c r="I13" s="4">
        <v>307504</v>
      </c>
    </row>
    <row r="14" spans="1:9" ht="15.6" x14ac:dyDescent="0.3">
      <c r="A14" s="25" t="s">
        <v>102</v>
      </c>
      <c r="B14" s="25"/>
      <c r="C14" s="25"/>
      <c r="D14" s="25"/>
      <c r="E14" s="25"/>
      <c r="F14" s="3">
        <v>1293327</v>
      </c>
      <c r="G14" s="3">
        <v>857534</v>
      </c>
      <c r="H14" s="4">
        <v>792793</v>
      </c>
      <c r="I14" s="4">
        <v>1004744</v>
      </c>
    </row>
    <row r="15" spans="1:9" ht="15.6" x14ac:dyDescent="0.3">
      <c r="A15" s="25" t="s">
        <v>103</v>
      </c>
      <c r="B15" s="25"/>
      <c r="C15" s="25"/>
      <c r="D15" s="25"/>
      <c r="E15" s="25"/>
      <c r="F15" s="3">
        <v>34824</v>
      </c>
      <c r="G15" s="3">
        <v>31701</v>
      </c>
      <c r="H15" s="4">
        <v>37672</v>
      </c>
      <c r="I15" s="4">
        <v>98518</v>
      </c>
    </row>
    <row r="16" spans="1:9" ht="15.6" x14ac:dyDescent="0.3">
      <c r="A16" s="25" t="s">
        <v>104</v>
      </c>
      <c r="B16" s="25"/>
      <c r="C16" s="25"/>
      <c r="D16" s="25"/>
      <c r="E16" s="25"/>
      <c r="F16" s="3">
        <v>1258503</v>
      </c>
      <c r="G16" s="3">
        <v>825833</v>
      </c>
      <c r="H16" s="4">
        <v>755121</v>
      </c>
      <c r="I16" s="4">
        <v>906226</v>
      </c>
    </row>
    <row r="17" spans="1:9" ht="15.6" x14ac:dyDescent="0.3">
      <c r="A17" s="10" t="s">
        <v>105</v>
      </c>
      <c r="B17" s="10"/>
      <c r="C17" s="10"/>
      <c r="D17" s="10"/>
      <c r="E17" s="10"/>
      <c r="F17" s="3">
        <v>1290672.419</v>
      </c>
      <c r="G17" s="3">
        <v>856061.33900000004</v>
      </c>
      <c r="H17" s="4">
        <v>717767.74</v>
      </c>
      <c r="I17" s="4">
        <v>906226.31200000003</v>
      </c>
    </row>
    <row r="18" spans="1:9" ht="15.6" x14ac:dyDescent="0.3">
      <c r="A18" s="101" t="s">
        <v>0</v>
      </c>
      <c r="B18" s="101"/>
      <c r="C18" s="101"/>
      <c r="D18" s="101"/>
      <c r="E18" s="101"/>
      <c r="F18" s="102" t="s">
        <v>3</v>
      </c>
      <c r="G18" s="102" t="s">
        <v>4</v>
      </c>
      <c r="H18" s="102" t="s">
        <v>5</v>
      </c>
      <c r="I18" s="102" t="s">
        <v>6</v>
      </c>
    </row>
    <row r="19" spans="1:9" ht="15.6" x14ac:dyDescent="0.3">
      <c r="A19" s="101" t="s">
        <v>107</v>
      </c>
      <c r="B19" s="101"/>
      <c r="C19" s="101"/>
      <c r="D19" s="101"/>
      <c r="E19" s="101"/>
      <c r="F19" s="102"/>
      <c r="G19" s="102"/>
      <c r="H19" s="102"/>
      <c r="I19" s="102"/>
    </row>
    <row r="20" spans="1:9" ht="15.6" x14ac:dyDescent="0.3">
      <c r="A20" s="6"/>
      <c r="B20" s="6"/>
      <c r="C20" s="6"/>
      <c r="D20" s="6"/>
      <c r="E20" s="6"/>
      <c r="F20" s="102"/>
      <c r="G20" s="102"/>
      <c r="H20" s="102"/>
      <c r="I20" s="102"/>
    </row>
    <row r="21" spans="1:9" ht="15.6" x14ac:dyDescent="0.3">
      <c r="A21" s="7" t="s">
        <v>7</v>
      </c>
      <c r="B21" s="8"/>
      <c r="C21" s="8"/>
      <c r="D21" s="8"/>
      <c r="E21" s="8"/>
      <c r="F21" s="9"/>
      <c r="G21" s="9"/>
      <c r="H21" s="9"/>
      <c r="I21" s="9"/>
    </row>
    <row r="22" spans="1:9" ht="15.6" x14ac:dyDescent="0.3">
      <c r="A22" s="10" t="s">
        <v>49</v>
      </c>
      <c r="B22" s="10"/>
      <c r="C22" s="10"/>
      <c r="D22" s="10"/>
      <c r="E22" s="10"/>
      <c r="F22" s="4">
        <v>51540737</v>
      </c>
      <c r="G22" s="4">
        <v>32252243</v>
      </c>
      <c r="H22" s="4">
        <v>26214250479</v>
      </c>
      <c r="I22" s="4">
        <v>30876257819</v>
      </c>
    </row>
    <row r="23" spans="1:9" ht="15.6" x14ac:dyDescent="0.3">
      <c r="A23" s="10" t="s">
        <v>50</v>
      </c>
      <c r="B23" s="10"/>
      <c r="C23" s="10"/>
      <c r="D23" s="10"/>
      <c r="E23" s="10"/>
      <c r="F23" s="4">
        <v>57928603</v>
      </c>
      <c r="G23" s="4">
        <v>40221897</v>
      </c>
      <c r="H23" s="4">
        <v>33222142228</v>
      </c>
      <c r="I23" s="4">
        <v>19999896526</v>
      </c>
    </row>
    <row r="24" spans="1:9" ht="15.6" x14ac:dyDescent="0.3">
      <c r="A24" s="10" t="s">
        <v>51</v>
      </c>
      <c r="B24" s="10"/>
      <c r="C24" s="10"/>
      <c r="D24" s="10"/>
      <c r="E24" s="10"/>
      <c r="F24" s="4">
        <v>15773382</v>
      </c>
      <c r="G24" s="4">
        <v>6770962</v>
      </c>
      <c r="H24" s="4">
        <v>5569133136</v>
      </c>
      <c r="I24" s="4">
        <v>5611375904</v>
      </c>
    </row>
    <row r="25" spans="1:9" ht="15.6" x14ac:dyDescent="0.3">
      <c r="A25" s="10" t="s">
        <v>52</v>
      </c>
      <c r="B25" s="10"/>
      <c r="C25" s="10"/>
      <c r="D25" s="10"/>
      <c r="E25" s="10"/>
      <c r="F25" s="4">
        <v>23488674</v>
      </c>
      <c r="G25" s="4">
        <v>9196191</v>
      </c>
      <c r="H25" s="23">
        <v>6772893362</v>
      </c>
      <c r="I25" s="23">
        <v>8002539778</v>
      </c>
    </row>
    <row r="26" spans="1:9" ht="15.6" x14ac:dyDescent="0.3">
      <c r="A26" s="10" t="s">
        <v>125</v>
      </c>
      <c r="B26" s="10"/>
      <c r="C26" s="10"/>
      <c r="D26" s="10"/>
      <c r="E26" s="10"/>
      <c r="F26" s="4">
        <v>12374218</v>
      </c>
      <c r="G26" s="4">
        <v>11647611</v>
      </c>
      <c r="H26" s="4">
        <v>14080120999</v>
      </c>
      <c r="I26" s="4">
        <v>16820480365</v>
      </c>
    </row>
    <row r="27" spans="1:9" ht="15.6" x14ac:dyDescent="0.3">
      <c r="A27" s="10" t="s">
        <v>53</v>
      </c>
      <c r="B27" s="10"/>
      <c r="C27" s="10"/>
      <c r="D27" s="10"/>
      <c r="E27" s="10"/>
      <c r="F27" s="4">
        <v>12487545</v>
      </c>
      <c r="G27" s="4">
        <v>11233860</v>
      </c>
      <c r="H27" s="4">
        <v>11518692377</v>
      </c>
      <c r="I27" s="4">
        <v>10050278918</v>
      </c>
    </row>
    <row r="28" spans="1:9" ht="15.6" x14ac:dyDescent="0.3">
      <c r="A28" s="25" t="s">
        <v>54</v>
      </c>
      <c r="B28" s="25"/>
      <c r="C28" s="25"/>
      <c r="D28" s="25"/>
      <c r="E28" s="25"/>
      <c r="F28" s="23">
        <v>106304</v>
      </c>
      <c r="G28" s="23" t="s">
        <v>2</v>
      </c>
      <c r="H28" s="23">
        <v>349701081</v>
      </c>
      <c r="I28" s="23">
        <v>310745145</v>
      </c>
    </row>
    <row r="29" spans="1:9" ht="15.6" x14ac:dyDescent="0.3">
      <c r="A29" s="10" t="s">
        <v>55</v>
      </c>
      <c r="B29" s="10"/>
      <c r="C29" s="10"/>
      <c r="D29" s="10"/>
      <c r="E29" s="10"/>
      <c r="F29" s="23">
        <v>804867</v>
      </c>
      <c r="G29" s="23">
        <v>844793</v>
      </c>
      <c r="H29" s="23">
        <v>606432818</v>
      </c>
      <c r="I29" s="23">
        <v>461315552</v>
      </c>
    </row>
    <row r="30" spans="1:9" ht="15.6" x14ac:dyDescent="0.3">
      <c r="A30" s="10" t="s">
        <v>56</v>
      </c>
      <c r="B30" s="10"/>
      <c r="C30" s="10"/>
      <c r="D30" s="10"/>
      <c r="E30" s="10"/>
      <c r="F30" s="23">
        <v>90283</v>
      </c>
      <c r="G30" s="23">
        <v>98701</v>
      </c>
      <c r="H30" s="23">
        <v>118984442</v>
      </c>
      <c r="I30" s="23">
        <v>125529472</v>
      </c>
    </row>
    <row r="31" spans="1:9" ht="15.6" x14ac:dyDescent="0.3">
      <c r="A31" s="25" t="s">
        <v>57</v>
      </c>
      <c r="B31" s="25"/>
      <c r="C31" s="25"/>
      <c r="D31" s="25"/>
      <c r="E31" s="25"/>
      <c r="F31" s="4">
        <v>2975630</v>
      </c>
      <c r="G31" s="4">
        <v>2177789</v>
      </c>
      <c r="H31" s="4">
        <v>1636042509</v>
      </c>
      <c r="I31" s="4">
        <v>1522312110</v>
      </c>
    </row>
    <row r="32" spans="1:9" ht="15.6" x14ac:dyDescent="0.3">
      <c r="A32" s="25" t="s">
        <v>58</v>
      </c>
      <c r="B32" s="25"/>
      <c r="C32" s="25"/>
      <c r="D32" s="25"/>
      <c r="E32" s="25"/>
      <c r="F32" s="4">
        <v>2490920</v>
      </c>
      <c r="G32" s="4">
        <v>2318723</v>
      </c>
      <c r="H32" s="4">
        <v>1954749801</v>
      </c>
      <c r="I32" s="4">
        <v>993839079</v>
      </c>
    </row>
    <row r="33" spans="1:9" ht="15.6" x14ac:dyDescent="0.3">
      <c r="A33" s="10" t="s">
        <v>59</v>
      </c>
      <c r="B33" s="10"/>
      <c r="C33" s="10"/>
      <c r="D33" s="10"/>
      <c r="E33" s="10"/>
      <c r="F33" s="4">
        <v>233912</v>
      </c>
      <c r="G33" s="4">
        <v>126411</v>
      </c>
      <c r="H33" s="4">
        <v>64486447</v>
      </c>
      <c r="I33" s="4">
        <v>47607209</v>
      </c>
    </row>
    <row r="34" spans="1:9" ht="15.6" x14ac:dyDescent="0.3">
      <c r="A34" s="25" t="s">
        <v>60</v>
      </c>
      <c r="B34" s="25"/>
      <c r="C34" s="25"/>
      <c r="D34" s="25"/>
      <c r="E34" s="25"/>
      <c r="F34" s="4">
        <v>6583336</v>
      </c>
      <c r="G34" s="4">
        <v>5021903</v>
      </c>
      <c r="H34" s="4">
        <v>3401909847</v>
      </c>
      <c r="I34" s="4">
        <v>2564263111</v>
      </c>
    </row>
    <row r="35" spans="1:9" ht="15.6" x14ac:dyDescent="0.3">
      <c r="A35" s="26" t="s">
        <v>61</v>
      </c>
      <c r="B35" s="26"/>
      <c r="C35" s="26"/>
      <c r="D35" s="26"/>
      <c r="E35" s="26"/>
      <c r="F35" s="27">
        <v>186878411</v>
      </c>
      <c r="G35" s="27">
        <v>121911084</v>
      </c>
      <c r="H35" s="27">
        <v>105509539526</v>
      </c>
      <c r="I35" s="27">
        <v>97386440988</v>
      </c>
    </row>
    <row r="36" spans="1:9" ht="15.6" x14ac:dyDescent="0.3">
      <c r="A36" s="10" t="s">
        <v>62</v>
      </c>
      <c r="B36" s="25"/>
      <c r="C36" s="25"/>
      <c r="D36" s="25"/>
      <c r="E36" s="25"/>
      <c r="F36" s="4"/>
      <c r="G36" s="4"/>
      <c r="H36" s="23"/>
      <c r="I36" s="23"/>
    </row>
    <row r="37" spans="1:9" ht="15.6" x14ac:dyDescent="0.3">
      <c r="A37" s="25" t="s">
        <v>63</v>
      </c>
      <c r="B37" s="25"/>
      <c r="C37" s="25"/>
      <c r="D37" s="25"/>
      <c r="E37" s="25"/>
      <c r="F37" s="4">
        <v>22762916</v>
      </c>
      <c r="G37" s="4">
        <v>14055729</v>
      </c>
      <c r="H37" s="4">
        <v>12371835820</v>
      </c>
      <c r="I37" s="4">
        <v>17736580111</v>
      </c>
    </row>
    <row r="38" spans="1:9" ht="15.6" x14ac:dyDescent="0.3">
      <c r="A38" s="10" t="s">
        <v>64</v>
      </c>
      <c r="B38" s="10"/>
      <c r="C38" s="10"/>
      <c r="D38" s="10"/>
      <c r="E38" s="10"/>
      <c r="F38" s="4">
        <v>67208585</v>
      </c>
      <c r="G38" s="4">
        <v>50634207</v>
      </c>
      <c r="H38" s="4">
        <v>48130171764</v>
      </c>
      <c r="I38" s="4">
        <v>38564737371</v>
      </c>
    </row>
    <row r="39" spans="1:9" ht="15.6" x14ac:dyDescent="0.3">
      <c r="A39" s="25" t="s">
        <v>65</v>
      </c>
      <c r="B39" s="25"/>
      <c r="C39" s="25"/>
      <c r="D39" s="25"/>
      <c r="E39" s="25"/>
      <c r="F39" s="4">
        <v>11489567</v>
      </c>
      <c r="G39" s="4">
        <v>8130903</v>
      </c>
      <c r="H39" s="4">
        <v>5408502064</v>
      </c>
      <c r="I39" s="4">
        <v>5963333876</v>
      </c>
    </row>
    <row r="40" spans="1:9" ht="15.6" x14ac:dyDescent="0.3">
      <c r="A40" s="25" t="s">
        <v>66</v>
      </c>
      <c r="B40" s="25"/>
      <c r="C40" s="25"/>
      <c r="D40" s="25"/>
      <c r="E40" s="25"/>
      <c r="F40" s="4">
        <v>11130638</v>
      </c>
      <c r="G40" s="4">
        <v>6216904</v>
      </c>
      <c r="H40" s="4">
        <v>4570191615</v>
      </c>
      <c r="I40" s="4">
        <v>3069703383</v>
      </c>
    </row>
    <row r="41" spans="1:9" ht="15.6" x14ac:dyDescent="0.3">
      <c r="A41" s="25" t="s">
        <v>67</v>
      </c>
      <c r="B41" s="25"/>
      <c r="C41" s="25"/>
      <c r="D41" s="25"/>
      <c r="E41" s="25"/>
      <c r="F41" s="4">
        <v>7901466</v>
      </c>
      <c r="G41" s="4">
        <v>680319</v>
      </c>
      <c r="H41" s="4">
        <v>379039443</v>
      </c>
      <c r="I41" s="4">
        <v>3890060348</v>
      </c>
    </row>
    <row r="42" spans="1:9" ht="15.6" x14ac:dyDescent="0.3">
      <c r="A42" s="25" t="s">
        <v>68</v>
      </c>
      <c r="B42" s="25"/>
      <c r="C42" s="25"/>
      <c r="D42" s="25"/>
      <c r="E42" s="25"/>
      <c r="F42" s="4">
        <v>20566943</v>
      </c>
      <c r="G42" s="4">
        <v>11319690</v>
      </c>
      <c r="H42" s="4">
        <v>9595446350</v>
      </c>
      <c r="I42" s="4">
        <v>8537833096</v>
      </c>
    </row>
    <row r="43" spans="1:9" ht="15.6" x14ac:dyDescent="0.3">
      <c r="A43" s="25" t="s">
        <v>69</v>
      </c>
      <c r="B43" s="25"/>
      <c r="C43" s="25"/>
      <c r="D43" s="25"/>
      <c r="E43" s="25"/>
      <c r="F43" s="4">
        <v>1432665</v>
      </c>
      <c r="G43" s="4">
        <v>749003</v>
      </c>
      <c r="H43" s="4">
        <v>500000000</v>
      </c>
      <c r="I43" s="4">
        <v>550000000</v>
      </c>
    </row>
    <row r="44" spans="1:9" ht="15.6" x14ac:dyDescent="0.3">
      <c r="A44" s="25" t="s">
        <v>47</v>
      </c>
      <c r="B44" s="25"/>
      <c r="C44" s="25"/>
      <c r="D44" s="25"/>
      <c r="E44" s="25"/>
      <c r="F44" s="4">
        <v>1913277</v>
      </c>
      <c r="G44" s="4">
        <v>1099271</v>
      </c>
      <c r="H44" s="4">
        <v>903715808</v>
      </c>
      <c r="I44" s="4">
        <v>690001941</v>
      </c>
    </row>
    <row r="45" spans="1:9" ht="15.6" x14ac:dyDescent="0.3">
      <c r="A45" s="25" t="s">
        <v>70</v>
      </c>
      <c r="B45" s="25"/>
      <c r="C45" s="25"/>
      <c r="D45" s="25"/>
      <c r="E45" s="25"/>
      <c r="F45" s="4">
        <v>1020705</v>
      </c>
      <c r="G45" s="4">
        <v>638583</v>
      </c>
      <c r="H45" s="4">
        <v>473873472</v>
      </c>
      <c r="I45" s="4">
        <v>363572503</v>
      </c>
    </row>
    <row r="46" spans="1:9" ht="15.6" x14ac:dyDescent="0.3">
      <c r="A46" s="10" t="s">
        <v>71</v>
      </c>
      <c r="B46" s="10"/>
      <c r="C46" s="10"/>
      <c r="D46" s="10"/>
      <c r="E46" s="10"/>
      <c r="F46" s="4">
        <v>2083684</v>
      </c>
      <c r="G46" s="4">
        <v>987436</v>
      </c>
      <c r="H46" s="4">
        <v>800661223</v>
      </c>
      <c r="I46" s="4">
        <v>416130589</v>
      </c>
    </row>
    <row r="47" spans="1:9" ht="15.6" x14ac:dyDescent="0.3">
      <c r="A47" s="24" t="s">
        <v>72</v>
      </c>
      <c r="B47" s="24"/>
      <c r="C47" s="24"/>
      <c r="D47" s="24"/>
      <c r="E47" s="24"/>
      <c r="F47" s="27">
        <v>147510446</v>
      </c>
      <c r="G47" s="27">
        <v>94512045</v>
      </c>
      <c r="H47" s="27">
        <v>83133437559</v>
      </c>
      <c r="I47" s="27">
        <v>79781953218</v>
      </c>
    </row>
    <row r="48" spans="1:9" ht="15.6" x14ac:dyDescent="0.3">
      <c r="A48" s="25" t="s">
        <v>73</v>
      </c>
      <c r="B48" s="25"/>
      <c r="C48" s="25"/>
      <c r="D48" s="25"/>
      <c r="E48" s="25"/>
      <c r="F48" s="4"/>
      <c r="G48" s="4"/>
      <c r="H48" s="4"/>
      <c r="I48" s="4"/>
    </row>
    <row r="49" spans="1:9" ht="15.6" x14ac:dyDescent="0.3">
      <c r="A49" s="10" t="s">
        <v>74</v>
      </c>
      <c r="B49" s="10"/>
      <c r="C49" s="10"/>
      <c r="D49" s="10"/>
      <c r="E49" s="10"/>
      <c r="F49" s="23">
        <v>7298030</v>
      </c>
      <c r="G49" s="23">
        <v>7298030</v>
      </c>
      <c r="H49" s="23">
        <v>5838424030</v>
      </c>
      <c r="I49" s="23">
        <v>4865353355</v>
      </c>
    </row>
    <row r="50" spans="1:9" ht="15.6" x14ac:dyDescent="0.3">
      <c r="A50" s="25" t="s">
        <v>75</v>
      </c>
      <c r="B50" s="25"/>
      <c r="C50" s="25"/>
      <c r="D50" s="25"/>
      <c r="E50" s="25"/>
      <c r="F50" s="4">
        <v>993689</v>
      </c>
      <c r="G50" s="4">
        <v>972344</v>
      </c>
      <c r="H50" s="4">
        <v>867454520</v>
      </c>
      <c r="I50" s="4">
        <v>840272556</v>
      </c>
    </row>
    <row r="51" spans="1:9" ht="15.6" x14ac:dyDescent="0.3">
      <c r="A51" s="25" t="s">
        <v>76</v>
      </c>
      <c r="B51" s="25"/>
      <c r="C51" s="25"/>
      <c r="D51" s="25"/>
      <c r="E51" s="25"/>
      <c r="F51" s="4">
        <v>1797838</v>
      </c>
      <c r="G51" s="4">
        <v>1668624</v>
      </c>
      <c r="H51" s="4">
        <v>1668623811</v>
      </c>
      <c r="I51" s="4">
        <v>1668623811</v>
      </c>
    </row>
    <row r="52" spans="1:9" ht="15.6" x14ac:dyDescent="0.3">
      <c r="A52" s="25" t="s">
        <v>77</v>
      </c>
      <c r="B52" s="25"/>
      <c r="C52" s="25"/>
      <c r="D52" s="25"/>
      <c r="E52" s="25"/>
      <c r="F52" s="4">
        <v>11800563</v>
      </c>
      <c r="G52" s="4">
        <v>4843110</v>
      </c>
      <c r="H52" s="4">
        <v>3125555888</v>
      </c>
      <c r="I52" s="4">
        <v>783420592</v>
      </c>
    </row>
    <row r="53" spans="1:9" ht="15.6" x14ac:dyDescent="0.3">
      <c r="A53" s="10" t="s">
        <v>78</v>
      </c>
      <c r="B53" s="10"/>
      <c r="C53" s="10"/>
      <c r="D53" s="10"/>
      <c r="E53" s="10"/>
      <c r="F53" s="4">
        <v>12568681</v>
      </c>
      <c r="G53" s="4">
        <v>8534456</v>
      </c>
      <c r="H53" s="4">
        <v>7460139693</v>
      </c>
      <c r="I53" s="4">
        <v>6486918967</v>
      </c>
    </row>
    <row r="54" spans="1:9" ht="15.6" x14ac:dyDescent="0.3">
      <c r="A54" s="25" t="s">
        <v>79</v>
      </c>
      <c r="B54" s="25"/>
      <c r="C54" s="25"/>
      <c r="D54" s="25"/>
      <c r="E54" s="25"/>
      <c r="F54" s="4">
        <v>34058826</v>
      </c>
      <c r="G54" s="4">
        <v>23316564</v>
      </c>
      <c r="H54" s="4">
        <v>18960197942</v>
      </c>
      <c r="I54" s="4">
        <v>14644589281</v>
      </c>
    </row>
    <row r="55" spans="1:9" ht="15.6" x14ac:dyDescent="0.3">
      <c r="A55" s="25" t="s">
        <v>48</v>
      </c>
      <c r="B55" s="25"/>
      <c r="C55" s="25"/>
      <c r="D55" s="25"/>
      <c r="E55" s="25"/>
      <c r="F55" s="4">
        <v>5309139</v>
      </c>
      <c r="G55" s="4">
        <v>4082475</v>
      </c>
      <c r="H55" s="4">
        <v>3415904025</v>
      </c>
      <c r="I55" s="4">
        <v>2959898489</v>
      </c>
    </row>
    <row r="56" spans="1:9" ht="15.6" x14ac:dyDescent="0.3">
      <c r="A56" s="26" t="s">
        <v>80</v>
      </c>
      <c r="B56" s="26"/>
      <c r="C56" s="26"/>
      <c r="D56" s="26"/>
      <c r="E56" s="26"/>
      <c r="F56" s="27">
        <v>39367965</v>
      </c>
      <c r="G56" s="27">
        <v>27399039</v>
      </c>
      <c r="H56" s="27">
        <v>22376101967</v>
      </c>
      <c r="I56" s="27">
        <v>17604487770</v>
      </c>
    </row>
    <row r="57" spans="1:9" ht="15.6" x14ac:dyDescent="0.3">
      <c r="A57" s="26" t="s">
        <v>81</v>
      </c>
      <c r="B57" s="26"/>
      <c r="C57" s="26"/>
      <c r="D57" s="26"/>
      <c r="E57" s="26"/>
      <c r="F57" s="27">
        <v>186878411</v>
      </c>
      <c r="G57" s="27">
        <v>121911084</v>
      </c>
      <c r="H57" s="27">
        <v>105509539526</v>
      </c>
      <c r="I57" s="27">
        <v>97386440988</v>
      </c>
    </row>
  </sheetData>
  <mergeCells count="13">
    <mergeCell ref="H18:H20"/>
    <mergeCell ref="I18:I20"/>
    <mergeCell ref="A19:E19"/>
    <mergeCell ref="A18:E18"/>
    <mergeCell ref="F18:F20"/>
    <mergeCell ref="G18:G20"/>
    <mergeCell ref="H1:H3"/>
    <mergeCell ref="I1:I3"/>
    <mergeCell ref="A2:E2"/>
    <mergeCell ref="A3:E3"/>
    <mergeCell ref="A1:E1"/>
    <mergeCell ref="G1:G3"/>
    <mergeCell ref="F1:F3"/>
  </mergeCells>
  <pageMargins left="0.7" right="0.7" top="0.75" bottom="0.75" header="0.3" footer="0.3"/>
  <pageSetup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1AC0F-F9C0-4A52-895F-B8C22C48C309}">
  <sheetPr>
    <pageSetUpPr fitToPage="1"/>
  </sheetPr>
  <dimension ref="A1:L134"/>
  <sheetViews>
    <sheetView showGridLines="0" zoomScale="89" zoomScaleNormal="89" workbookViewId="0">
      <selection activeCell="A127" sqref="A127:B128"/>
    </sheetView>
  </sheetViews>
  <sheetFormatPr defaultRowHeight="14.4" x14ac:dyDescent="0.3"/>
  <cols>
    <col min="3" max="3" width="24.33203125" customWidth="1"/>
    <col min="4" max="4" width="22.109375" customWidth="1"/>
    <col min="5" max="5" width="21.6640625" customWidth="1"/>
    <col min="6" max="6" width="22.88671875" customWidth="1"/>
    <col min="7" max="8" width="20.6640625" bestFit="1" customWidth="1"/>
    <col min="10" max="10" width="19.6640625" bestFit="1" customWidth="1"/>
    <col min="11" max="11" width="13.77734375" customWidth="1"/>
  </cols>
  <sheetData>
    <row r="1" spans="1:12" ht="15.6" customHeight="1" x14ac:dyDescent="0.3">
      <c r="A1" s="108" t="s">
        <v>0</v>
      </c>
      <c r="B1" s="108"/>
      <c r="C1" s="108"/>
      <c r="D1" s="108"/>
      <c r="E1" s="109" t="s">
        <v>4</v>
      </c>
      <c r="F1" s="109" t="s">
        <v>3</v>
      </c>
      <c r="G1" s="110" t="s">
        <v>43</v>
      </c>
      <c r="H1" s="111" t="s">
        <v>45</v>
      </c>
      <c r="I1" s="1"/>
    </row>
    <row r="2" spans="1:12" ht="15.6" customHeight="1" x14ac:dyDescent="0.3">
      <c r="A2" s="108" t="s">
        <v>108</v>
      </c>
      <c r="B2" s="108"/>
      <c r="C2" s="108"/>
      <c r="D2" s="108"/>
      <c r="E2" s="109"/>
      <c r="F2" s="109"/>
      <c r="G2" s="110"/>
      <c r="H2" s="111"/>
    </row>
    <row r="3" spans="1:12" ht="15.6" customHeight="1" x14ac:dyDescent="0.3">
      <c r="A3" s="6"/>
      <c r="B3" s="6"/>
      <c r="C3" s="6"/>
      <c r="D3" s="6"/>
      <c r="E3" s="109"/>
      <c r="F3" s="109"/>
      <c r="G3" s="110"/>
      <c r="H3" s="111"/>
    </row>
    <row r="4" spans="1:12" ht="15.6" customHeight="1" x14ac:dyDescent="0.3">
      <c r="A4" s="7" t="s">
        <v>7</v>
      </c>
      <c r="B4" s="8"/>
      <c r="C4" s="8"/>
      <c r="D4" s="8"/>
      <c r="E4" s="9"/>
      <c r="F4" s="9"/>
      <c r="G4" s="9"/>
      <c r="H4" s="9"/>
    </row>
    <row r="5" spans="1:12" s="19" customFormat="1" ht="20.399999999999999" customHeight="1" x14ac:dyDescent="0.35">
      <c r="A5" s="10" t="s">
        <v>49</v>
      </c>
      <c r="B5" s="10"/>
      <c r="C5" s="10"/>
      <c r="D5" s="10"/>
      <c r="E5" s="4">
        <v>32252243</v>
      </c>
      <c r="F5" s="4">
        <v>51540737</v>
      </c>
      <c r="G5" s="17"/>
      <c r="H5" s="18">
        <v>19288494</v>
      </c>
    </row>
    <row r="6" spans="1:12" s="19" customFormat="1" ht="20.399999999999999" customHeight="1" x14ac:dyDescent="0.35">
      <c r="A6" s="10" t="s">
        <v>50</v>
      </c>
      <c r="B6" s="10"/>
      <c r="C6" s="10"/>
      <c r="D6" s="10"/>
      <c r="E6" s="4">
        <v>40221897</v>
      </c>
      <c r="F6" s="4">
        <v>57928603</v>
      </c>
      <c r="G6" s="17"/>
      <c r="H6" s="18">
        <v>17706706</v>
      </c>
    </row>
    <row r="7" spans="1:12" s="19" customFormat="1" ht="20.399999999999999" customHeight="1" x14ac:dyDescent="0.35">
      <c r="A7" s="10" t="s">
        <v>51</v>
      </c>
      <c r="B7" s="10"/>
      <c r="C7" s="10"/>
      <c r="D7" s="10"/>
      <c r="E7" s="4">
        <v>6770962</v>
      </c>
      <c r="F7" s="4">
        <v>15773382</v>
      </c>
      <c r="G7" s="17"/>
      <c r="H7" s="18">
        <v>9002420</v>
      </c>
      <c r="L7" s="21"/>
    </row>
    <row r="8" spans="1:12" s="19" customFormat="1" ht="20.399999999999999" customHeight="1" x14ac:dyDescent="0.35">
      <c r="A8" s="10" t="s">
        <v>52</v>
      </c>
      <c r="B8" s="10"/>
      <c r="C8" s="10"/>
      <c r="D8" s="10"/>
      <c r="E8" s="4">
        <v>9196191</v>
      </c>
      <c r="F8" s="4">
        <v>23488674</v>
      </c>
      <c r="G8" s="17"/>
      <c r="H8" s="18">
        <v>14292483</v>
      </c>
    </row>
    <row r="9" spans="1:12" s="19" customFormat="1" ht="20.399999999999999" customHeight="1" x14ac:dyDescent="0.35">
      <c r="A9" s="10" t="s">
        <v>125</v>
      </c>
      <c r="B9" s="10"/>
      <c r="C9" s="10"/>
      <c r="D9" s="10"/>
      <c r="E9" s="4">
        <v>11647611</v>
      </c>
      <c r="F9" s="4">
        <v>12374218</v>
      </c>
      <c r="G9" s="17"/>
      <c r="H9" s="18">
        <v>726607</v>
      </c>
    </row>
    <row r="10" spans="1:12" s="19" customFormat="1" ht="20.399999999999999" customHeight="1" x14ac:dyDescent="0.35">
      <c r="A10" s="10" t="s">
        <v>53</v>
      </c>
      <c r="B10" s="10"/>
      <c r="C10" s="10"/>
      <c r="D10" s="10"/>
      <c r="E10" s="4">
        <v>11233860</v>
      </c>
      <c r="F10" s="4">
        <v>12487545</v>
      </c>
      <c r="G10" s="17"/>
      <c r="H10" s="18">
        <v>1253685</v>
      </c>
    </row>
    <row r="11" spans="1:12" s="19" customFormat="1" ht="20.399999999999999" customHeight="1" x14ac:dyDescent="0.35">
      <c r="A11" s="25" t="s">
        <v>54</v>
      </c>
      <c r="B11" s="25"/>
      <c r="C11" s="25"/>
      <c r="D11" s="25"/>
      <c r="E11" s="23" t="s">
        <v>2</v>
      </c>
      <c r="F11" s="23">
        <v>106304</v>
      </c>
      <c r="G11" s="18"/>
      <c r="H11" s="18">
        <v>106304</v>
      </c>
    </row>
    <row r="12" spans="1:12" s="19" customFormat="1" ht="20.399999999999999" customHeight="1" x14ac:dyDescent="0.35">
      <c r="A12" s="10" t="s">
        <v>55</v>
      </c>
      <c r="B12" s="10"/>
      <c r="C12" s="10"/>
      <c r="D12" s="10"/>
      <c r="E12" s="23">
        <v>844793</v>
      </c>
      <c r="F12" s="23">
        <v>804867</v>
      </c>
      <c r="G12" s="18">
        <v>39926</v>
      </c>
      <c r="H12" s="18"/>
      <c r="J12" s="29"/>
    </row>
    <row r="13" spans="1:12" s="19" customFormat="1" ht="20.399999999999999" customHeight="1" x14ac:dyDescent="0.35">
      <c r="A13" s="10" t="s">
        <v>56</v>
      </c>
      <c r="B13" s="10"/>
      <c r="C13" s="10"/>
      <c r="D13" s="10"/>
      <c r="E13" s="23">
        <v>98701</v>
      </c>
      <c r="F13" s="23">
        <v>90283</v>
      </c>
      <c r="G13" s="18">
        <v>8418</v>
      </c>
      <c r="H13" s="20"/>
    </row>
    <row r="14" spans="1:12" s="19" customFormat="1" ht="20.399999999999999" customHeight="1" x14ac:dyDescent="0.35">
      <c r="A14" s="25" t="s">
        <v>57</v>
      </c>
      <c r="B14" s="25"/>
      <c r="C14" s="25"/>
      <c r="D14" s="25"/>
      <c r="E14" s="4">
        <v>2177789</v>
      </c>
      <c r="F14" s="4">
        <v>2975630</v>
      </c>
      <c r="G14" s="17"/>
      <c r="H14" s="18">
        <v>797841</v>
      </c>
    </row>
    <row r="15" spans="1:12" s="19" customFormat="1" ht="20.399999999999999" customHeight="1" x14ac:dyDescent="0.35">
      <c r="A15" s="25" t="s">
        <v>58</v>
      </c>
      <c r="B15" s="25"/>
      <c r="C15" s="25"/>
      <c r="D15" s="25"/>
      <c r="E15" s="4">
        <v>2318723</v>
      </c>
      <c r="F15" s="4">
        <v>2490920</v>
      </c>
      <c r="G15" s="20"/>
      <c r="H15" s="18">
        <v>172197</v>
      </c>
    </row>
    <row r="16" spans="1:12" s="19" customFormat="1" ht="20.399999999999999" customHeight="1" x14ac:dyDescent="0.35">
      <c r="A16" s="10" t="s">
        <v>59</v>
      </c>
      <c r="B16" s="10"/>
      <c r="C16" s="10"/>
      <c r="D16" s="10"/>
      <c r="E16" s="4">
        <v>126411</v>
      </c>
      <c r="F16" s="4">
        <v>233912</v>
      </c>
      <c r="G16" s="17"/>
      <c r="H16" s="18">
        <v>107501</v>
      </c>
    </row>
    <row r="17" spans="1:11" s="19" customFormat="1" ht="20.399999999999999" customHeight="1" x14ac:dyDescent="0.35">
      <c r="A17" s="25" t="s">
        <v>60</v>
      </c>
      <c r="B17" s="25"/>
      <c r="C17" s="25"/>
      <c r="D17" s="25"/>
      <c r="E17" s="4">
        <v>5021903</v>
      </c>
      <c r="F17" s="4">
        <v>6583336</v>
      </c>
      <c r="G17" s="18"/>
      <c r="H17" s="18">
        <v>1561433</v>
      </c>
    </row>
    <row r="18" spans="1:11" s="19" customFormat="1" ht="20.399999999999999" customHeight="1" x14ac:dyDescent="0.35">
      <c r="A18" s="26" t="s">
        <v>61</v>
      </c>
      <c r="B18" s="26"/>
      <c r="C18" s="26"/>
      <c r="D18" s="26"/>
      <c r="E18" s="27">
        <v>121911084</v>
      </c>
      <c r="F18" s="27">
        <v>186878411</v>
      </c>
      <c r="G18" s="20"/>
      <c r="H18" s="18"/>
    </row>
    <row r="19" spans="1:11" s="19" customFormat="1" ht="20.399999999999999" customHeight="1" x14ac:dyDescent="0.35">
      <c r="A19" s="10" t="s">
        <v>62</v>
      </c>
      <c r="B19" s="25"/>
      <c r="C19" s="25"/>
      <c r="D19" s="25"/>
      <c r="E19" s="4"/>
      <c r="F19" s="4"/>
      <c r="G19" s="17"/>
      <c r="H19" s="18"/>
      <c r="K19" s="29"/>
    </row>
    <row r="20" spans="1:11" s="19" customFormat="1" ht="20.399999999999999" customHeight="1" x14ac:dyDescent="0.35">
      <c r="A20" s="25" t="s">
        <v>63</v>
      </c>
      <c r="B20" s="25"/>
      <c r="C20" s="25"/>
      <c r="D20" s="25"/>
      <c r="E20" s="4">
        <v>14055729</v>
      </c>
      <c r="F20" s="4">
        <v>22762916</v>
      </c>
      <c r="G20" s="18">
        <v>8707187</v>
      </c>
      <c r="H20" s="17"/>
    </row>
    <row r="21" spans="1:11" s="19" customFormat="1" ht="20.399999999999999" customHeight="1" x14ac:dyDescent="0.35">
      <c r="A21" s="10" t="s">
        <v>64</v>
      </c>
      <c r="B21" s="10"/>
      <c r="C21" s="10"/>
      <c r="D21" s="10"/>
      <c r="E21" s="4">
        <v>50634207</v>
      </c>
      <c r="F21" s="4">
        <v>67208585</v>
      </c>
      <c r="G21" s="18">
        <v>16574378</v>
      </c>
      <c r="H21" s="18"/>
    </row>
    <row r="22" spans="1:11" s="19" customFormat="1" ht="20.399999999999999" customHeight="1" x14ac:dyDescent="0.35">
      <c r="A22" s="25" t="s">
        <v>65</v>
      </c>
      <c r="B22" s="25"/>
      <c r="C22" s="25"/>
      <c r="D22" s="25"/>
      <c r="E22" s="4">
        <v>8130903</v>
      </c>
      <c r="F22" s="4">
        <v>11489567</v>
      </c>
      <c r="G22" s="18">
        <v>3358664</v>
      </c>
      <c r="H22" s="18"/>
    </row>
    <row r="23" spans="1:11" s="19" customFormat="1" ht="20.399999999999999" customHeight="1" x14ac:dyDescent="0.35">
      <c r="A23" s="25" t="s">
        <v>66</v>
      </c>
      <c r="B23" s="25"/>
      <c r="C23" s="25"/>
      <c r="D23" s="25"/>
      <c r="E23" s="4">
        <v>6216904</v>
      </c>
      <c r="F23" s="4">
        <v>11130638</v>
      </c>
      <c r="G23" s="18">
        <v>4913734</v>
      </c>
      <c r="H23" s="18"/>
    </row>
    <row r="24" spans="1:11" s="19" customFormat="1" ht="20.399999999999999" customHeight="1" x14ac:dyDescent="0.35">
      <c r="A24" s="25" t="s">
        <v>67</v>
      </c>
      <c r="B24" s="25"/>
      <c r="C24" s="25"/>
      <c r="D24" s="25"/>
      <c r="E24" s="4">
        <v>680319</v>
      </c>
      <c r="F24" s="4">
        <v>7901466</v>
      </c>
      <c r="G24" s="18">
        <v>7221147</v>
      </c>
      <c r="H24" s="18"/>
    </row>
    <row r="25" spans="1:11" s="19" customFormat="1" ht="20.399999999999999" customHeight="1" x14ac:dyDescent="0.35">
      <c r="A25" s="25" t="s">
        <v>68</v>
      </c>
      <c r="B25" s="25"/>
      <c r="C25" s="25"/>
      <c r="D25" s="25"/>
      <c r="E25" s="4">
        <v>11319690</v>
      </c>
      <c r="F25" s="4">
        <v>20566943</v>
      </c>
      <c r="G25" s="18">
        <v>9247253</v>
      </c>
      <c r="H25" s="20"/>
    </row>
    <row r="26" spans="1:11" s="19" customFormat="1" ht="20.399999999999999" customHeight="1" x14ac:dyDescent="0.35">
      <c r="A26" s="25" t="s">
        <v>69</v>
      </c>
      <c r="B26" s="25"/>
      <c r="C26" s="25"/>
      <c r="D26" s="25"/>
      <c r="E26" s="4">
        <v>749003</v>
      </c>
      <c r="F26" s="4">
        <v>1432665</v>
      </c>
      <c r="G26" s="18">
        <v>683662</v>
      </c>
      <c r="H26" s="20"/>
    </row>
    <row r="27" spans="1:11" s="19" customFormat="1" ht="20.399999999999999" customHeight="1" x14ac:dyDescent="0.35">
      <c r="A27" s="25" t="s">
        <v>47</v>
      </c>
      <c r="B27" s="25"/>
      <c r="C27" s="25"/>
      <c r="D27" s="25"/>
      <c r="E27" s="4">
        <v>1099271</v>
      </c>
      <c r="F27" s="4">
        <v>1913277</v>
      </c>
      <c r="G27" s="18">
        <v>814006</v>
      </c>
      <c r="H27" s="18"/>
    </row>
    <row r="28" spans="1:11" s="19" customFormat="1" ht="20.399999999999999" customHeight="1" x14ac:dyDescent="0.35">
      <c r="A28" s="25" t="s">
        <v>70</v>
      </c>
      <c r="B28" s="25"/>
      <c r="C28" s="25"/>
      <c r="D28" s="25"/>
      <c r="E28" s="4">
        <v>638583</v>
      </c>
      <c r="F28" s="4">
        <v>1020705</v>
      </c>
      <c r="G28" s="18">
        <v>382122</v>
      </c>
      <c r="H28" s="17"/>
    </row>
    <row r="29" spans="1:11" s="19" customFormat="1" ht="20.399999999999999" customHeight="1" x14ac:dyDescent="0.35">
      <c r="A29" s="10" t="s">
        <v>71</v>
      </c>
      <c r="B29" s="10"/>
      <c r="C29" s="10"/>
      <c r="D29" s="10"/>
      <c r="E29" s="4">
        <v>987436</v>
      </c>
      <c r="F29" s="4">
        <v>2083684</v>
      </c>
      <c r="G29" s="18">
        <v>1096248</v>
      </c>
      <c r="H29" s="17"/>
    </row>
    <row r="30" spans="1:11" s="19" customFormat="1" ht="20.399999999999999" customHeight="1" x14ac:dyDescent="0.35">
      <c r="A30" s="24" t="s">
        <v>72</v>
      </c>
      <c r="B30" s="24"/>
      <c r="C30" s="24"/>
      <c r="D30" s="24"/>
      <c r="E30" s="27">
        <v>94512045</v>
      </c>
      <c r="F30" s="27">
        <v>147510446</v>
      </c>
      <c r="G30" s="18"/>
      <c r="H30" s="17"/>
    </row>
    <row r="31" spans="1:11" ht="18" x14ac:dyDescent="0.35">
      <c r="A31" s="25" t="s">
        <v>73</v>
      </c>
      <c r="B31" s="25"/>
      <c r="C31" s="25"/>
      <c r="D31" s="25"/>
      <c r="E31" s="4"/>
      <c r="F31" s="4"/>
      <c r="G31" s="18"/>
      <c r="H31" s="17"/>
    </row>
    <row r="32" spans="1:11" ht="18" x14ac:dyDescent="0.35">
      <c r="A32" s="10" t="s">
        <v>74</v>
      </c>
      <c r="B32" s="10"/>
      <c r="C32" s="10"/>
      <c r="D32" s="10"/>
      <c r="E32" s="23">
        <v>7298030</v>
      </c>
      <c r="F32" s="23">
        <v>7298030</v>
      </c>
      <c r="G32" s="18" t="s">
        <v>2</v>
      </c>
      <c r="H32" s="17" t="s">
        <v>2</v>
      </c>
    </row>
    <row r="33" spans="1:11" ht="18" x14ac:dyDescent="0.35">
      <c r="A33" s="25" t="s">
        <v>75</v>
      </c>
      <c r="B33" s="25"/>
      <c r="C33" s="25"/>
      <c r="D33" s="25"/>
      <c r="E33" s="4">
        <v>972344</v>
      </c>
      <c r="F33" s="4">
        <v>993689</v>
      </c>
      <c r="G33" s="18">
        <v>21345</v>
      </c>
      <c r="H33" s="17"/>
    </row>
    <row r="34" spans="1:11" ht="18" x14ac:dyDescent="0.35">
      <c r="A34" s="25" t="s">
        <v>76</v>
      </c>
      <c r="B34" s="25"/>
      <c r="C34" s="25"/>
      <c r="D34" s="25"/>
      <c r="E34" s="4">
        <v>1668624</v>
      </c>
      <c r="F34" s="4">
        <v>1797838</v>
      </c>
      <c r="G34" s="18">
        <v>129214</v>
      </c>
      <c r="H34" s="17"/>
    </row>
    <row r="35" spans="1:11" ht="18" x14ac:dyDescent="0.35">
      <c r="A35" s="25" t="s">
        <v>77</v>
      </c>
      <c r="B35" s="25"/>
      <c r="C35" s="25"/>
      <c r="D35" s="25"/>
      <c r="E35" s="4">
        <v>4843110</v>
      </c>
      <c r="F35" s="4">
        <v>11800563</v>
      </c>
      <c r="G35" s="18">
        <v>6957453</v>
      </c>
      <c r="H35" s="17"/>
    </row>
    <row r="36" spans="1:11" ht="18" x14ac:dyDescent="0.35">
      <c r="A36" s="10" t="s">
        <v>78</v>
      </c>
      <c r="B36" s="10"/>
      <c r="C36" s="10"/>
      <c r="D36" s="10"/>
      <c r="E36" s="4">
        <v>8534456</v>
      </c>
      <c r="F36" s="4">
        <v>12568681</v>
      </c>
      <c r="G36" s="18">
        <v>3634250</v>
      </c>
      <c r="H36" s="17"/>
    </row>
    <row r="37" spans="1:11" ht="18" x14ac:dyDescent="0.35">
      <c r="A37" s="25" t="s">
        <v>79</v>
      </c>
      <c r="B37" s="25"/>
      <c r="C37" s="25"/>
      <c r="D37" s="25"/>
      <c r="E37" s="4">
        <v>23316564</v>
      </c>
      <c r="F37" s="4">
        <v>34058826</v>
      </c>
      <c r="G37" s="18" t="s">
        <v>2</v>
      </c>
      <c r="H37" s="17" t="s">
        <v>2</v>
      </c>
      <c r="J37" s="28"/>
    </row>
    <row r="38" spans="1:11" ht="18" x14ac:dyDescent="0.35">
      <c r="A38" s="25" t="s">
        <v>48</v>
      </c>
      <c r="B38" s="25"/>
      <c r="C38" s="25"/>
      <c r="D38" s="25"/>
      <c r="E38" s="4">
        <v>4082475</v>
      </c>
      <c r="F38" s="4">
        <v>5309139</v>
      </c>
      <c r="G38" s="18">
        <v>1226664</v>
      </c>
      <c r="H38" s="17"/>
    </row>
    <row r="39" spans="1:11" ht="18" customHeight="1" x14ac:dyDescent="0.3">
      <c r="A39" s="26" t="s">
        <v>80</v>
      </c>
      <c r="B39" s="26"/>
      <c r="C39" s="26"/>
      <c r="D39" s="26"/>
      <c r="E39" s="27">
        <v>27399039</v>
      </c>
      <c r="F39" s="27">
        <v>39367965</v>
      </c>
      <c r="G39" s="105">
        <v>65015671</v>
      </c>
      <c r="H39" s="105">
        <v>65015671</v>
      </c>
      <c r="J39" s="28"/>
    </row>
    <row r="40" spans="1:11" ht="18" customHeight="1" x14ac:dyDescent="0.3">
      <c r="A40" s="26" t="s">
        <v>81</v>
      </c>
      <c r="B40" s="26"/>
      <c r="C40" s="26"/>
      <c r="D40" s="26"/>
      <c r="E40" s="27">
        <v>121911084</v>
      </c>
      <c r="F40" s="27">
        <v>186878411</v>
      </c>
      <c r="G40" s="106"/>
      <c r="H40" s="106"/>
      <c r="K40" s="28"/>
    </row>
    <row r="41" spans="1:11" ht="15.6" customHeight="1" x14ac:dyDescent="0.3"/>
    <row r="42" spans="1:11" ht="5.4" customHeight="1" x14ac:dyDescent="0.3">
      <c r="A42" s="31"/>
      <c r="B42" s="31"/>
      <c r="C42" s="31"/>
      <c r="D42" s="31"/>
      <c r="E42" s="31"/>
      <c r="F42" s="31"/>
      <c r="G42" s="31"/>
      <c r="H42" s="31"/>
      <c r="I42" s="31"/>
      <c r="J42" s="31"/>
    </row>
    <row r="43" spans="1:11" ht="14.4" customHeight="1" x14ac:dyDescent="0.3">
      <c r="A43" s="115" t="s">
        <v>82</v>
      </c>
      <c r="B43" s="115"/>
      <c r="C43" s="115"/>
      <c r="D43" s="113" t="s">
        <v>83</v>
      </c>
      <c r="E43" s="107" t="s">
        <v>84</v>
      </c>
    </row>
    <row r="44" spans="1:11" ht="14.4" customHeight="1" thickBot="1" x14ac:dyDescent="0.35">
      <c r="A44" s="115"/>
      <c r="B44" s="115"/>
      <c r="C44" s="115"/>
      <c r="D44" s="114"/>
      <c r="E44" s="104"/>
    </row>
    <row r="45" spans="1:11" ht="21" x14ac:dyDescent="0.4">
      <c r="A45" s="32" t="s">
        <v>64</v>
      </c>
      <c r="B45" s="33"/>
      <c r="C45" s="33"/>
      <c r="D45" s="34">
        <v>16574378</v>
      </c>
      <c r="E45" s="35">
        <f>D45/D$62</f>
        <v>0.25492895759259526</v>
      </c>
    </row>
    <row r="46" spans="1:11" ht="21" x14ac:dyDescent="0.4">
      <c r="A46" s="36" t="s">
        <v>68</v>
      </c>
      <c r="B46" s="37"/>
      <c r="C46" s="37"/>
      <c r="D46" s="38">
        <v>9247253</v>
      </c>
      <c r="E46" s="39">
        <f t="shared" ref="E46:E61" si="0">D46/D$62</f>
        <v>0.14223113337254645</v>
      </c>
    </row>
    <row r="47" spans="1:11" ht="21" x14ac:dyDescent="0.4">
      <c r="A47" s="36" t="s">
        <v>63</v>
      </c>
      <c r="B47" s="37"/>
      <c r="C47" s="37"/>
      <c r="D47" s="38">
        <v>8707187</v>
      </c>
      <c r="E47" s="39">
        <f t="shared" si="0"/>
        <v>0.1339244287462128</v>
      </c>
    </row>
    <row r="48" spans="1:11" ht="21" x14ac:dyDescent="0.4">
      <c r="A48" s="36" t="s">
        <v>67</v>
      </c>
      <c r="B48" s="37"/>
      <c r="C48" s="37"/>
      <c r="D48" s="38">
        <v>7221147</v>
      </c>
      <c r="E48" s="39">
        <f t="shared" si="0"/>
        <v>0.11106778651560238</v>
      </c>
    </row>
    <row r="49" spans="1:5" ht="21" x14ac:dyDescent="0.4">
      <c r="A49" s="36" t="s">
        <v>77</v>
      </c>
      <c r="B49" s="37"/>
      <c r="C49" s="37"/>
      <c r="D49" s="38">
        <v>6957454</v>
      </c>
      <c r="E49" s="39">
        <f t="shared" si="0"/>
        <v>0.10701194914936973</v>
      </c>
    </row>
    <row r="50" spans="1:5" ht="21" x14ac:dyDescent="0.4">
      <c r="A50" s="36" t="s">
        <v>66</v>
      </c>
      <c r="B50" s="37"/>
      <c r="C50" s="37"/>
      <c r="D50" s="38">
        <v>4913734</v>
      </c>
      <c r="E50" s="39">
        <f t="shared" si="0"/>
        <v>7.557768300610096E-2</v>
      </c>
    </row>
    <row r="51" spans="1:5" ht="21" x14ac:dyDescent="0.4">
      <c r="A51" s="36" t="s">
        <v>78</v>
      </c>
      <c r="B51" s="37"/>
      <c r="C51" s="37"/>
      <c r="D51" s="38">
        <v>3634250</v>
      </c>
      <c r="E51" s="39">
        <f t="shared" si="0"/>
        <v>5.5898059289518402E-2</v>
      </c>
    </row>
    <row r="52" spans="1:5" ht="21" x14ac:dyDescent="0.4">
      <c r="A52" s="36" t="s">
        <v>65</v>
      </c>
      <c r="B52" s="37"/>
      <c r="C52" s="37"/>
      <c r="D52" s="38">
        <v>3358664</v>
      </c>
      <c r="E52" s="39">
        <f t="shared" si="0"/>
        <v>5.1659296802798661E-2</v>
      </c>
    </row>
    <row r="53" spans="1:5" ht="21" x14ac:dyDescent="0.4">
      <c r="A53" s="36" t="s">
        <v>48</v>
      </c>
      <c r="B53" s="37"/>
      <c r="C53" s="37"/>
      <c r="D53" s="38">
        <v>1226664</v>
      </c>
      <c r="E53" s="39">
        <f t="shared" si="0"/>
        <v>1.8867204237550471E-2</v>
      </c>
    </row>
    <row r="54" spans="1:5" ht="21" x14ac:dyDescent="0.4">
      <c r="A54" s="36" t="s">
        <v>71</v>
      </c>
      <c r="B54" s="37"/>
      <c r="C54" s="37"/>
      <c r="D54" s="38">
        <v>1096248</v>
      </c>
      <c r="E54" s="39">
        <f t="shared" si="0"/>
        <v>1.6861287941120167E-2</v>
      </c>
    </row>
    <row r="55" spans="1:5" ht="21" x14ac:dyDescent="0.4">
      <c r="A55" s="36" t="s">
        <v>47</v>
      </c>
      <c r="B55" s="41"/>
      <c r="C55" s="42"/>
      <c r="D55" s="38">
        <v>814006</v>
      </c>
      <c r="E55" s="39">
        <f t="shared" si="0"/>
        <v>1.2520150141025994E-2</v>
      </c>
    </row>
    <row r="56" spans="1:5" ht="21" x14ac:dyDescent="0.4">
      <c r="A56" s="36" t="s">
        <v>69</v>
      </c>
      <c r="B56" s="41"/>
      <c r="C56" s="42"/>
      <c r="D56" s="38">
        <v>683662</v>
      </c>
      <c r="E56" s="39">
        <f t="shared" si="0"/>
        <v>1.0515341269860557E-2</v>
      </c>
    </row>
    <row r="57" spans="1:5" ht="21" x14ac:dyDescent="0.4">
      <c r="A57" s="36" t="s">
        <v>70</v>
      </c>
      <c r="B57" s="37"/>
      <c r="C57" s="37"/>
      <c r="D57" s="38">
        <v>382122</v>
      </c>
      <c r="E57" s="39">
        <f t="shared" si="0"/>
        <v>5.8773827369689342E-3</v>
      </c>
    </row>
    <row r="58" spans="1:5" ht="21" x14ac:dyDescent="0.4">
      <c r="A58" s="36" t="s">
        <v>76</v>
      </c>
      <c r="B58" s="37"/>
      <c r="C58" s="37"/>
      <c r="D58" s="38">
        <v>129216</v>
      </c>
      <c r="E58" s="39">
        <f t="shared" si="0"/>
        <v>1.9874592086825092E-3</v>
      </c>
    </row>
    <row r="59" spans="1:5" ht="21" x14ac:dyDescent="0.4">
      <c r="A59" s="36" t="s">
        <v>55</v>
      </c>
      <c r="B59" s="37"/>
      <c r="C59" s="37"/>
      <c r="D59" s="38">
        <v>39926</v>
      </c>
      <c r="E59" s="39">
        <f t="shared" si="0"/>
        <v>6.140980711820353E-4</v>
      </c>
    </row>
    <row r="60" spans="1:5" ht="21" x14ac:dyDescent="0.4">
      <c r="A60" s="36" t="s">
        <v>75</v>
      </c>
      <c r="B60" s="41"/>
      <c r="C60" s="42"/>
      <c r="D60" s="38">
        <v>21345</v>
      </c>
      <c r="E60" s="39">
        <f t="shared" si="0"/>
        <v>3.2830544831389429E-4</v>
      </c>
    </row>
    <row r="61" spans="1:5" ht="21" x14ac:dyDescent="0.4">
      <c r="A61" s="36" t="s">
        <v>56</v>
      </c>
      <c r="B61" s="37"/>
      <c r="C61" s="37"/>
      <c r="D61" s="38">
        <v>8418</v>
      </c>
      <c r="E61" s="39">
        <f t="shared" si="0"/>
        <v>1.2947647055077825E-4</v>
      </c>
    </row>
    <row r="62" spans="1:5" ht="21.6" thickBot="1" x14ac:dyDescent="0.45">
      <c r="A62" s="119" t="s">
        <v>87</v>
      </c>
      <c r="B62" s="120"/>
      <c r="C62" s="121"/>
      <c r="D62" s="40">
        <f>SUM(D45:D61)</f>
        <v>65015674</v>
      </c>
      <c r="E62" s="57">
        <f>SUM(E45:E61)</f>
        <v>0.99999999999999989</v>
      </c>
    </row>
    <row r="63" spans="1:5" ht="14.4" customHeight="1" x14ac:dyDescent="0.3">
      <c r="A63" s="115" t="s">
        <v>44</v>
      </c>
      <c r="B63" s="115"/>
      <c r="C63" s="115"/>
      <c r="D63" s="103" t="s">
        <v>83</v>
      </c>
      <c r="E63" s="103" t="s">
        <v>84</v>
      </c>
    </row>
    <row r="64" spans="1:5" ht="14.4" customHeight="1" thickBot="1" x14ac:dyDescent="0.35">
      <c r="A64" s="115"/>
      <c r="B64" s="115"/>
      <c r="C64" s="115"/>
      <c r="D64" s="104"/>
      <c r="E64" s="104"/>
    </row>
    <row r="65" spans="1:10" ht="21" x14ac:dyDescent="0.4">
      <c r="A65" s="32" t="s">
        <v>49</v>
      </c>
      <c r="B65" s="87"/>
      <c r="C65" s="88"/>
      <c r="D65" s="34">
        <v>19288494</v>
      </c>
      <c r="E65" s="43">
        <f>D65/D$76</f>
        <v>0.29667453559004259</v>
      </c>
    </row>
    <row r="66" spans="1:10" ht="21" x14ac:dyDescent="0.4">
      <c r="A66" s="36" t="s">
        <v>50</v>
      </c>
      <c r="B66" s="41"/>
      <c r="C66" s="42"/>
      <c r="D66" s="38">
        <v>17706706</v>
      </c>
      <c r="E66" s="44">
        <f t="shared" ref="E66:E75" si="1">D66/D$76</f>
        <v>0.272345201205414</v>
      </c>
    </row>
    <row r="67" spans="1:10" ht="21" x14ac:dyDescent="0.4">
      <c r="A67" s="36" t="s">
        <v>52</v>
      </c>
      <c r="B67" s="41"/>
      <c r="C67" s="42"/>
      <c r="D67" s="38">
        <v>14292483</v>
      </c>
      <c r="E67" s="44">
        <f t="shared" si="1"/>
        <v>0.21983135419766719</v>
      </c>
    </row>
    <row r="68" spans="1:10" ht="21" x14ac:dyDescent="0.4">
      <c r="A68" s="36" t="s">
        <v>51</v>
      </c>
      <c r="B68" s="41"/>
      <c r="C68" s="42"/>
      <c r="D68" s="38">
        <v>9002420</v>
      </c>
      <c r="E68" s="44">
        <f t="shared" si="1"/>
        <v>0.13846538629125277</v>
      </c>
    </row>
    <row r="69" spans="1:10" ht="21" x14ac:dyDescent="0.4">
      <c r="A69" s="36" t="s">
        <v>60</v>
      </c>
      <c r="B69" s="41"/>
      <c r="C69" s="42"/>
      <c r="D69" s="38">
        <v>1561433</v>
      </c>
      <c r="E69" s="44">
        <f t="shared" si="1"/>
        <v>2.401625601926034E-2</v>
      </c>
    </row>
    <row r="70" spans="1:10" ht="21" x14ac:dyDescent="0.4">
      <c r="A70" s="36" t="s">
        <v>53</v>
      </c>
      <c r="B70" s="41"/>
      <c r="C70" s="42"/>
      <c r="D70" s="38">
        <v>1253685</v>
      </c>
      <c r="E70" s="44">
        <f t="shared" si="1"/>
        <v>1.9282812600672845E-2</v>
      </c>
    </row>
    <row r="71" spans="1:10" ht="21" x14ac:dyDescent="0.4">
      <c r="A71" s="36" t="s">
        <v>57</v>
      </c>
      <c r="B71" s="41"/>
      <c r="C71" s="42"/>
      <c r="D71" s="38">
        <v>797841</v>
      </c>
      <c r="E71" s="44">
        <f t="shared" si="1"/>
        <v>1.2271518354397973E-2</v>
      </c>
    </row>
    <row r="72" spans="1:10" ht="21" x14ac:dyDescent="0.4">
      <c r="A72" s="36" t="s">
        <v>125</v>
      </c>
      <c r="B72" s="41"/>
      <c r="C72" s="42"/>
      <c r="D72" s="38">
        <v>726607</v>
      </c>
      <c r="E72" s="44">
        <f t="shared" si="1"/>
        <v>1.1175874813320007E-2</v>
      </c>
    </row>
    <row r="73" spans="1:10" ht="21" x14ac:dyDescent="0.4">
      <c r="A73" s="36" t="s">
        <v>58</v>
      </c>
      <c r="B73" s="37"/>
      <c r="C73" s="37"/>
      <c r="D73" s="38">
        <v>172197</v>
      </c>
      <c r="E73" s="44">
        <f t="shared" si="1"/>
        <v>2.6485460713002564E-3</v>
      </c>
    </row>
    <row r="74" spans="1:10" ht="21" x14ac:dyDescent="0.4">
      <c r="A74" s="36" t="s">
        <v>59</v>
      </c>
      <c r="B74" s="37"/>
      <c r="C74" s="37"/>
      <c r="D74" s="38">
        <v>107501</v>
      </c>
      <c r="E74" s="44">
        <f t="shared" si="1"/>
        <v>1.6534629012749864E-3</v>
      </c>
    </row>
    <row r="75" spans="1:10" ht="21" x14ac:dyDescent="0.4">
      <c r="A75" s="36" t="s">
        <v>54</v>
      </c>
      <c r="B75" s="41"/>
      <c r="C75" s="42"/>
      <c r="D75" s="38">
        <v>106304</v>
      </c>
      <c r="E75" s="44">
        <f t="shared" si="1"/>
        <v>1.6350519553970304E-3</v>
      </c>
    </row>
    <row r="76" spans="1:10" ht="21.6" thickBot="1" x14ac:dyDescent="0.45">
      <c r="A76" s="119" t="s">
        <v>87</v>
      </c>
      <c r="B76" s="120"/>
      <c r="C76" s="121"/>
      <c r="D76" s="40">
        <f>SUM(D65:D75)</f>
        <v>65015671</v>
      </c>
      <c r="E76" s="57">
        <f>SUM(E65:E75)</f>
        <v>1</v>
      </c>
    </row>
    <row r="77" spans="1:10" ht="3.6" customHeight="1" x14ac:dyDescent="0.3">
      <c r="A77" s="31"/>
      <c r="B77" s="31"/>
      <c r="C77" s="31"/>
      <c r="D77" s="31"/>
      <c r="E77" s="31"/>
      <c r="F77" s="31"/>
      <c r="G77" s="31"/>
      <c r="H77" s="31"/>
      <c r="I77" s="31"/>
      <c r="J77" s="31"/>
    </row>
    <row r="78" spans="1:10" ht="14.4" customHeight="1" x14ac:dyDescent="0.3"/>
    <row r="79" spans="1:10" ht="14.4" customHeight="1" x14ac:dyDescent="0.3">
      <c r="A79" s="45"/>
      <c r="B79" s="45"/>
      <c r="C79" s="116" t="s">
        <v>85</v>
      </c>
      <c r="D79" s="117"/>
      <c r="E79" s="116" t="s">
        <v>86</v>
      </c>
      <c r="F79" s="122"/>
      <c r="G79" s="47"/>
    </row>
    <row r="80" spans="1:10" ht="15" thickBot="1" x14ac:dyDescent="0.35">
      <c r="A80" s="46"/>
      <c r="B80" s="46"/>
      <c r="C80" s="104"/>
      <c r="D80" s="118"/>
      <c r="E80" s="104"/>
      <c r="F80" s="123"/>
      <c r="G80" s="47"/>
    </row>
    <row r="81" spans="1:7" x14ac:dyDescent="0.3">
      <c r="A81" s="115" t="s">
        <v>82</v>
      </c>
      <c r="B81" s="115"/>
      <c r="C81" s="50"/>
      <c r="D81" s="48"/>
      <c r="E81" s="47"/>
      <c r="G81" s="47"/>
    </row>
    <row r="82" spans="1:7" ht="21" x14ac:dyDescent="0.4">
      <c r="A82" s="115"/>
      <c r="B82" s="115"/>
      <c r="C82" s="49" t="s">
        <v>64</v>
      </c>
      <c r="D82" s="48"/>
      <c r="E82" s="51" t="s">
        <v>77</v>
      </c>
      <c r="G82" s="47"/>
    </row>
    <row r="83" spans="1:7" ht="21" x14ac:dyDescent="0.4">
      <c r="C83" s="49" t="s">
        <v>68</v>
      </c>
      <c r="E83" s="51" t="s">
        <v>78</v>
      </c>
      <c r="G83" s="47"/>
    </row>
    <row r="84" spans="1:7" ht="21" x14ac:dyDescent="0.4">
      <c r="C84" s="49" t="s">
        <v>63</v>
      </c>
      <c r="E84" s="51" t="s">
        <v>65</v>
      </c>
      <c r="G84" s="47"/>
    </row>
    <row r="85" spans="1:7" ht="21" x14ac:dyDescent="0.4">
      <c r="C85" s="49" t="s">
        <v>67</v>
      </c>
      <c r="E85" s="51" t="s">
        <v>48</v>
      </c>
      <c r="G85" s="47"/>
    </row>
    <row r="86" spans="1:7" ht="21" x14ac:dyDescent="0.4">
      <c r="C86" s="49" t="s">
        <v>66</v>
      </c>
      <c r="E86" s="51" t="s">
        <v>71</v>
      </c>
      <c r="G86" s="47"/>
    </row>
    <row r="87" spans="1:7" ht="19.8" customHeight="1" x14ac:dyDescent="0.4">
      <c r="C87" s="49" t="s">
        <v>70</v>
      </c>
      <c r="E87" s="51" t="s">
        <v>47</v>
      </c>
      <c r="G87" s="47"/>
    </row>
    <row r="88" spans="1:7" ht="21" x14ac:dyDescent="0.4">
      <c r="C88" s="47"/>
      <c r="E88" s="51" t="s">
        <v>69</v>
      </c>
      <c r="G88" s="47"/>
    </row>
    <row r="89" spans="1:7" ht="21" x14ac:dyDescent="0.4">
      <c r="C89" s="49"/>
      <c r="E89" s="51" t="s">
        <v>76</v>
      </c>
      <c r="G89" s="47"/>
    </row>
    <row r="90" spans="1:7" ht="21" x14ac:dyDescent="0.4">
      <c r="C90" s="49"/>
      <c r="E90" s="51" t="s">
        <v>55</v>
      </c>
      <c r="G90" s="47"/>
    </row>
    <row r="91" spans="1:7" ht="21" x14ac:dyDescent="0.4">
      <c r="C91" s="49"/>
      <c r="E91" s="51" t="s">
        <v>75</v>
      </c>
      <c r="G91" s="47"/>
    </row>
    <row r="92" spans="1:7" ht="21" x14ac:dyDescent="0.4">
      <c r="C92" s="49"/>
      <c r="E92" s="51" t="s">
        <v>56</v>
      </c>
      <c r="G92" s="47"/>
    </row>
    <row r="93" spans="1:7" ht="14.4" customHeight="1" thickBot="1" x14ac:dyDescent="0.35">
      <c r="A93" s="115" t="s">
        <v>44</v>
      </c>
      <c r="B93" s="115"/>
      <c r="C93" s="47"/>
      <c r="D93" s="48"/>
      <c r="E93" s="47"/>
      <c r="G93" s="47"/>
    </row>
    <row r="94" spans="1:7" ht="14.4" customHeight="1" thickTop="1" x14ac:dyDescent="0.3">
      <c r="A94" s="115"/>
      <c r="B94" s="115"/>
      <c r="C94" s="52"/>
      <c r="D94" s="53"/>
      <c r="E94" s="52"/>
      <c r="F94" s="53"/>
      <c r="G94" s="47"/>
    </row>
    <row r="95" spans="1:7" ht="21" x14ac:dyDescent="0.4">
      <c r="C95" s="49" t="s">
        <v>49</v>
      </c>
      <c r="D95" s="48"/>
      <c r="E95" s="49" t="s">
        <v>52</v>
      </c>
      <c r="G95" s="47"/>
    </row>
    <row r="96" spans="1:7" ht="21" x14ac:dyDescent="0.4">
      <c r="C96" s="49" t="s">
        <v>50</v>
      </c>
      <c r="D96" s="48"/>
      <c r="E96" s="49" t="s">
        <v>53</v>
      </c>
      <c r="G96" s="47"/>
    </row>
    <row r="97" spans="1:7" ht="21" x14ac:dyDescent="0.4">
      <c r="C97" s="49" t="s">
        <v>51</v>
      </c>
      <c r="D97" s="48"/>
      <c r="E97" s="49" t="s">
        <v>57</v>
      </c>
      <c r="G97" s="47"/>
    </row>
    <row r="98" spans="1:7" ht="21" x14ac:dyDescent="0.4">
      <c r="C98" s="49" t="s">
        <v>60</v>
      </c>
      <c r="D98" s="48"/>
      <c r="E98" s="49" t="s">
        <v>58</v>
      </c>
      <c r="G98" s="47"/>
    </row>
    <row r="99" spans="1:7" ht="21" x14ac:dyDescent="0.4">
      <c r="C99" s="49" t="s">
        <v>54</v>
      </c>
      <c r="D99" s="48"/>
      <c r="E99" s="49" t="s">
        <v>59</v>
      </c>
      <c r="G99" s="47"/>
    </row>
    <row r="100" spans="1:7" ht="21" x14ac:dyDescent="0.4">
      <c r="C100" s="49" t="s">
        <v>125</v>
      </c>
      <c r="D100" s="48"/>
      <c r="G100" s="47"/>
    </row>
    <row r="101" spans="1:7" x14ac:dyDescent="0.3">
      <c r="C101" s="47"/>
      <c r="D101" s="48"/>
      <c r="E101" s="47"/>
      <c r="G101" s="47"/>
    </row>
    <row r="102" spans="1:7" ht="14.4" customHeight="1" x14ac:dyDescent="0.3">
      <c r="A102" s="45"/>
      <c r="B102" s="45"/>
      <c r="C102" s="116" t="s">
        <v>85</v>
      </c>
      <c r="D102" s="117"/>
      <c r="E102" s="116" t="s">
        <v>86</v>
      </c>
      <c r="F102" s="122"/>
      <c r="G102" s="47"/>
    </row>
    <row r="103" spans="1:7" ht="15" thickBot="1" x14ac:dyDescent="0.35">
      <c r="A103" s="46"/>
      <c r="B103" s="46"/>
      <c r="C103" s="104"/>
      <c r="D103" s="118"/>
      <c r="E103" s="104"/>
      <c r="F103" s="123"/>
      <c r="G103" s="47"/>
    </row>
    <row r="104" spans="1:7" ht="13.2" customHeight="1" x14ac:dyDescent="0.3">
      <c r="A104" s="115" t="s">
        <v>82</v>
      </c>
      <c r="B104" s="115"/>
    </row>
    <row r="105" spans="1:7" x14ac:dyDescent="0.3">
      <c r="A105" s="115"/>
      <c r="B105" s="115"/>
    </row>
    <row r="117" spans="1:11" x14ac:dyDescent="0.3">
      <c r="A117" s="115" t="s">
        <v>44</v>
      </c>
      <c r="B117" s="115"/>
    </row>
    <row r="118" spans="1:11" x14ac:dyDescent="0.3">
      <c r="A118" s="115"/>
      <c r="B118" s="115"/>
    </row>
    <row r="119" spans="1:11" x14ac:dyDescent="0.3">
      <c r="J119" s="54"/>
      <c r="K119" s="30"/>
    </row>
    <row r="125" spans="1:11" ht="8.4" customHeight="1" x14ac:dyDescent="0.3">
      <c r="A125" s="31"/>
      <c r="B125" s="31"/>
      <c r="C125" s="31"/>
      <c r="D125" s="31"/>
      <c r="E125" s="31"/>
      <c r="F125" s="31"/>
      <c r="G125" s="31"/>
      <c r="H125" s="31"/>
      <c r="I125" s="31"/>
      <c r="J125" s="31"/>
    </row>
    <row r="127" spans="1:11" x14ac:dyDescent="0.3">
      <c r="A127" s="112" t="s">
        <v>88</v>
      </c>
      <c r="B127" s="112"/>
    </row>
    <row r="128" spans="1:11" x14ac:dyDescent="0.3">
      <c r="A128" s="112"/>
      <c r="B128" s="112"/>
    </row>
    <row r="130" spans="1:2" ht="21" x14ac:dyDescent="0.4">
      <c r="A130" s="55" t="s">
        <v>46</v>
      </c>
      <c r="B130" s="56" t="s">
        <v>127</v>
      </c>
    </row>
    <row r="131" spans="1:2" ht="21" x14ac:dyDescent="0.4">
      <c r="B131" s="56" t="s">
        <v>126</v>
      </c>
    </row>
    <row r="132" spans="1:2" ht="21" x14ac:dyDescent="0.4">
      <c r="A132" s="55" t="s">
        <v>46</v>
      </c>
      <c r="B132" s="56" t="s">
        <v>89</v>
      </c>
    </row>
    <row r="133" spans="1:2" ht="21" x14ac:dyDescent="0.4">
      <c r="B133" s="56" t="s">
        <v>90</v>
      </c>
    </row>
    <row r="134" spans="1:2" ht="21" x14ac:dyDescent="0.4">
      <c r="B134" s="56" t="s">
        <v>91</v>
      </c>
    </row>
  </sheetData>
  <mergeCells count="25">
    <mergeCell ref="E79:F80"/>
    <mergeCell ref="C102:D103"/>
    <mergeCell ref="E102:F103"/>
    <mergeCell ref="A104:B105"/>
    <mergeCell ref="A117:B118"/>
    <mergeCell ref="A127:B128"/>
    <mergeCell ref="D43:D44"/>
    <mergeCell ref="D63:D64"/>
    <mergeCell ref="A81:B82"/>
    <mergeCell ref="A93:B94"/>
    <mergeCell ref="C79:D80"/>
    <mergeCell ref="A62:C62"/>
    <mergeCell ref="A76:C76"/>
    <mergeCell ref="A43:C44"/>
    <mergeCell ref="A63:C64"/>
    <mergeCell ref="E63:E64"/>
    <mergeCell ref="G39:G40"/>
    <mergeCell ref="H39:H40"/>
    <mergeCell ref="E43:E44"/>
    <mergeCell ref="A1:D1"/>
    <mergeCell ref="F1:F3"/>
    <mergeCell ref="A2:D2"/>
    <mergeCell ref="E1:E3"/>
    <mergeCell ref="G1:G3"/>
    <mergeCell ref="H1:H3"/>
  </mergeCells>
  <pageMargins left="0.7" right="0.7" top="0.75" bottom="0.75" header="0.3" footer="0.3"/>
  <pageSetup scale="2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2C6-8C51-4DA8-B0FE-770DB9038766}">
  <dimension ref="A1:M114"/>
  <sheetViews>
    <sheetView showGridLines="0" workbookViewId="0">
      <selection activeCell="B41" sqref="B41"/>
    </sheetView>
  </sheetViews>
  <sheetFormatPr defaultRowHeight="14.4" x14ac:dyDescent="0.3"/>
  <cols>
    <col min="5" max="5" width="6.109375" customWidth="1"/>
    <col min="6" max="6" width="19.6640625" customWidth="1"/>
    <col min="7" max="7" width="9.44140625" customWidth="1"/>
    <col min="8" max="8" width="18.21875" customWidth="1"/>
    <col min="9" max="9" width="9.6640625" customWidth="1"/>
    <col min="10" max="10" width="21.6640625" bestFit="1" customWidth="1"/>
    <col min="11" max="11" width="10.33203125" customWidth="1"/>
    <col min="12" max="12" width="21.6640625" bestFit="1" customWidth="1"/>
    <col min="13" max="13" width="9.6640625" customWidth="1"/>
  </cols>
  <sheetData>
    <row r="1" spans="1:13" ht="15.6" x14ac:dyDescent="0.3">
      <c r="A1" s="101" t="s">
        <v>0</v>
      </c>
      <c r="B1" s="101"/>
      <c r="C1" s="101"/>
      <c r="D1" s="101"/>
      <c r="E1" s="101"/>
      <c r="F1" s="124">
        <v>45657</v>
      </c>
      <c r="G1" s="73"/>
      <c r="H1" s="124">
        <v>45291</v>
      </c>
      <c r="I1" s="73"/>
      <c r="J1" s="126">
        <v>44926</v>
      </c>
      <c r="K1" s="73"/>
      <c r="L1" s="126">
        <v>44561</v>
      </c>
      <c r="M1" s="75"/>
    </row>
    <row r="2" spans="1:13" ht="15.6" x14ac:dyDescent="0.3">
      <c r="A2" s="101" t="s">
        <v>106</v>
      </c>
      <c r="B2" s="101"/>
      <c r="C2" s="101"/>
      <c r="D2" s="101"/>
      <c r="E2" s="101"/>
      <c r="F2" s="124"/>
      <c r="G2" s="73"/>
      <c r="H2" s="124"/>
      <c r="I2" s="73"/>
      <c r="J2" s="126"/>
      <c r="K2" s="73"/>
      <c r="L2" s="126"/>
      <c r="M2" s="75"/>
    </row>
    <row r="3" spans="1:13" ht="15.6" x14ac:dyDescent="0.3">
      <c r="A3" s="101" t="s">
        <v>1</v>
      </c>
      <c r="B3" s="101"/>
      <c r="C3" s="101"/>
      <c r="D3" s="101"/>
      <c r="E3" s="101"/>
      <c r="F3" s="125"/>
      <c r="G3" s="74" t="s">
        <v>109</v>
      </c>
      <c r="H3" s="125"/>
      <c r="I3" s="74" t="s">
        <v>110</v>
      </c>
      <c r="J3" s="127"/>
      <c r="K3" s="74" t="s">
        <v>111</v>
      </c>
      <c r="L3" s="127"/>
      <c r="M3" s="76" t="s">
        <v>112</v>
      </c>
    </row>
    <row r="4" spans="1:13" ht="15.6" x14ac:dyDescent="0.3">
      <c r="A4" s="2" t="s">
        <v>92</v>
      </c>
      <c r="B4" s="2"/>
      <c r="C4" s="2"/>
      <c r="D4" s="2"/>
      <c r="E4" s="2"/>
      <c r="F4" s="70">
        <v>13600123</v>
      </c>
      <c r="G4" s="72">
        <f>F4/$F$4</f>
        <v>1</v>
      </c>
      <c r="H4" s="70">
        <v>7717121</v>
      </c>
      <c r="I4" s="72">
        <f>H4/$H$4</f>
        <v>1</v>
      </c>
      <c r="J4" s="71">
        <v>5207530</v>
      </c>
      <c r="K4" s="72">
        <f>J4/$J$4</f>
        <v>1</v>
      </c>
      <c r="L4" s="71">
        <v>6224424</v>
      </c>
      <c r="M4" s="72">
        <f>L4/$L$4</f>
        <v>1</v>
      </c>
    </row>
    <row r="5" spans="1:13" ht="15.6" x14ac:dyDescent="0.3">
      <c r="A5" s="10" t="s">
        <v>93</v>
      </c>
      <c r="B5" s="10"/>
      <c r="C5" s="10"/>
      <c r="D5" s="10"/>
      <c r="E5" s="10"/>
      <c r="F5" s="70">
        <v>-9113438</v>
      </c>
      <c r="G5" s="72">
        <f t="shared" ref="G5:G17" si="0">F5/$F$4</f>
        <v>-0.67009967483382316</v>
      </c>
      <c r="H5" s="70">
        <v>-5085950</v>
      </c>
      <c r="I5" s="72">
        <f t="shared" ref="I5:I17" si="1">H5/$H$4</f>
        <v>-0.6590475904161669</v>
      </c>
      <c r="J5" s="71">
        <v>-3193423</v>
      </c>
      <c r="K5" s="72">
        <f t="shared" ref="K5:K17" si="2">J5/$J$4</f>
        <v>-0.61323180087296669</v>
      </c>
      <c r="L5" s="71">
        <v>-3895402</v>
      </c>
      <c r="M5" s="72">
        <f t="shared" ref="M5:M17" si="3">L5/$L$4</f>
        <v>-0.62582529724838798</v>
      </c>
    </row>
    <row r="6" spans="1:13" ht="15.6" x14ac:dyDescent="0.3">
      <c r="A6" s="10" t="s">
        <v>94</v>
      </c>
      <c r="B6" s="10"/>
      <c r="C6" s="10"/>
      <c r="D6" s="10"/>
      <c r="E6" s="10"/>
      <c r="F6" s="70">
        <v>4486685</v>
      </c>
      <c r="G6" s="72">
        <f t="shared" si="0"/>
        <v>0.32990032516617679</v>
      </c>
      <c r="H6" s="70">
        <v>2631171</v>
      </c>
      <c r="I6" s="72">
        <f t="shared" si="1"/>
        <v>0.34095240958383316</v>
      </c>
      <c r="J6" s="71">
        <v>2014107</v>
      </c>
      <c r="K6" s="72">
        <f t="shared" si="2"/>
        <v>0.38676819912703336</v>
      </c>
      <c r="L6" s="71">
        <v>2329022</v>
      </c>
      <c r="M6" s="72">
        <f t="shared" si="3"/>
        <v>0.37417470275161202</v>
      </c>
    </row>
    <row r="7" spans="1:13" ht="15.6" x14ac:dyDescent="0.3">
      <c r="A7" s="10" t="s">
        <v>95</v>
      </c>
      <c r="B7" s="10"/>
      <c r="C7" s="10"/>
      <c r="D7" s="10"/>
      <c r="E7" s="10"/>
      <c r="F7" s="70"/>
      <c r="G7" s="72"/>
      <c r="H7" s="70"/>
      <c r="I7" s="72"/>
      <c r="J7" s="71"/>
      <c r="K7" s="72"/>
      <c r="L7" s="71"/>
      <c r="M7" s="72"/>
    </row>
    <row r="8" spans="1:13" ht="15.6" x14ac:dyDescent="0.3">
      <c r="A8" s="10" t="s">
        <v>96</v>
      </c>
      <c r="B8" s="10"/>
      <c r="C8" s="10"/>
      <c r="D8" s="10"/>
      <c r="E8" s="10"/>
      <c r="F8" s="70">
        <v>515478</v>
      </c>
      <c r="G8" s="72">
        <f t="shared" si="0"/>
        <v>3.7902451323418178E-2</v>
      </c>
      <c r="H8" s="70">
        <v>264254</v>
      </c>
      <c r="I8" s="72">
        <f t="shared" si="1"/>
        <v>3.4242562738098829E-2</v>
      </c>
      <c r="J8" s="71"/>
      <c r="K8" s="72">
        <f t="shared" si="2"/>
        <v>0</v>
      </c>
      <c r="L8" s="71"/>
      <c r="M8" s="72">
        <f t="shared" si="3"/>
        <v>0</v>
      </c>
    </row>
    <row r="9" spans="1:13" ht="15.6" x14ac:dyDescent="0.3">
      <c r="A9" s="25" t="s">
        <v>97</v>
      </c>
      <c r="B9" s="25"/>
      <c r="C9" s="25"/>
      <c r="D9" s="25"/>
      <c r="E9" s="25"/>
      <c r="F9" s="70">
        <v>2092459</v>
      </c>
      <c r="G9" s="72">
        <f t="shared" si="0"/>
        <v>0.15385588792101365</v>
      </c>
      <c r="H9" s="70">
        <v>1167865</v>
      </c>
      <c r="I9" s="72">
        <f t="shared" si="1"/>
        <v>0.15133428645216265</v>
      </c>
      <c r="J9" s="71">
        <v>886087</v>
      </c>
      <c r="K9" s="72">
        <f t="shared" si="2"/>
        <v>0.17015494869928738</v>
      </c>
      <c r="L9" s="71">
        <v>936434</v>
      </c>
      <c r="M9" s="72">
        <f t="shared" si="3"/>
        <v>0.15044508536050885</v>
      </c>
    </row>
    <row r="10" spans="1:13" ht="15.6" x14ac:dyDescent="0.3">
      <c r="A10" s="25" t="s">
        <v>98</v>
      </c>
      <c r="B10" s="25"/>
      <c r="C10" s="25"/>
      <c r="D10" s="25"/>
      <c r="E10" s="25"/>
      <c r="F10" s="70">
        <v>173669</v>
      </c>
      <c r="G10" s="72">
        <f t="shared" si="0"/>
        <v>1.2769663921421887E-2</v>
      </c>
      <c r="H10" s="70">
        <v>174799</v>
      </c>
      <c r="I10" s="72">
        <f t="shared" si="1"/>
        <v>2.2650804620013086E-2</v>
      </c>
      <c r="J10" s="71">
        <v>105251</v>
      </c>
      <c r="K10" s="72">
        <f t="shared" si="2"/>
        <v>2.0211309392360679E-2</v>
      </c>
      <c r="L10" s="71">
        <v>80340</v>
      </c>
      <c r="M10" s="72">
        <f t="shared" si="3"/>
        <v>1.2907218402859445E-2</v>
      </c>
    </row>
    <row r="11" spans="1:13" ht="15.6" x14ac:dyDescent="0.3">
      <c r="A11" s="10" t="s">
        <v>99</v>
      </c>
      <c r="B11" s="10"/>
      <c r="C11" s="10"/>
      <c r="D11" s="10"/>
      <c r="E11" s="10"/>
      <c r="F11" s="70">
        <v>2781606</v>
      </c>
      <c r="G11" s="72">
        <f t="shared" si="0"/>
        <v>0.20452800316585373</v>
      </c>
      <c r="H11" s="70">
        <v>1606918</v>
      </c>
      <c r="I11" s="72">
        <f t="shared" si="1"/>
        <v>0.20822765381027458</v>
      </c>
      <c r="J11" s="71">
        <v>991338</v>
      </c>
      <c r="K11" s="72">
        <f t="shared" si="2"/>
        <v>0.19036625809164806</v>
      </c>
      <c r="L11" s="71">
        <v>1016774</v>
      </c>
      <c r="M11" s="72">
        <f t="shared" si="3"/>
        <v>0.16335230376336832</v>
      </c>
    </row>
    <row r="12" spans="1:13" ht="15.6" x14ac:dyDescent="0.3">
      <c r="A12" s="25" t="s">
        <v>100</v>
      </c>
      <c r="B12" s="25"/>
      <c r="C12" s="25"/>
      <c r="D12" s="25"/>
      <c r="E12" s="25"/>
      <c r="F12" s="70">
        <v>1705079</v>
      </c>
      <c r="G12" s="72">
        <f t="shared" si="0"/>
        <v>0.12537232200032308</v>
      </c>
      <c r="H12" s="70">
        <v>1024253</v>
      </c>
      <c r="I12" s="72">
        <f t="shared" si="1"/>
        <v>0.13272475577355855</v>
      </c>
      <c r="J12" s="71">
        <v>1022769</v>
      </c>
      <c r="K12" s="72">
        <f t="shared" si="2"/>
        <v>0.1964019410353853</v>
      </c>
      <c r="L12" s="71">
        <v>1312248</v>
      </c>
      <c r="M12" s="72">
        <f t="shared" si="3"/>
        <v>0.21082239898824373</v>
      </c>
    </row>
    <row r="13" spans="1:13" ht="15.6" x14ac:dyDescent="0.3">
      <c r="A13" s="10" t="s">
        <v>101</v>
      </c>
      <c r="B13" s="10"/>
      <c r="C13" s="10"/>
      <c r="D13" s="10"/>
      <c r="E13" s="10"/>
      <c r="F13" s="70">
        <v>411752</v>
      </c>
      <c r="G13" s="72">
        <f t="shared" si="0"/>
        <v>3.0275608536775734E-2</v>
      </c>
      <c r="H13" s="70">
        <v>166719</v>
      </c>
      <c r="I13" s="72">
        <f t="shared" si="1"/>
        <v>2.1603782032185319E-2</v>
      </c>
      <c r="J13" s="71">
        <v>229976</v>
      </c>
      <c r="K13" s="72">
        <f t="shared" si="2"/>
        <v>4.4162203578279914E-2</v>
      </c>
      <c r="L13" s="71">
        <v>307504</v>
      </c>
      <c r="M13" s="72">
        <f t="shared" si="3"/>
        <v>4.9402804179149752E-2</v>
      </c>
    </row>
    <row r="14" spans="1:13" ht="15.6" x14ac:dyDescent="0.3">
      <c r="A14" s="25" t="s">
        <v>102</v>
      </c>
      <c r="B14" s="25"/>
      <c r="C14" s="25"/>
      <c r="D14" s="25"/>
      <c r="E14" s="25"/>
      <c r="F14" s="70">
        <v>1293327</v>
      </c>
      <c r="G14" s="72">
        <f t="shared" si="0"/>
        <v>9.5096713463547353E-2</v>
      </c>
      <c r="H14" s="70">
        <v>857534</v>
      </c>
      <c r="I14" s="72">
        <f t="shared" si="1"/>
        <v>0.11112097374137324</v>
      </c>
      <c r="J14" s="71">
        <v>792793</v>
      </c>
      <c r="K14" s="72">
        <f t="shared" si="2"/>
        <v>0.1522397374571054</v>
      </c>
      <c r="L14" s="71">
        <v>1004744</v>
      </c>
      <c r="M14" s="72">
        <f t="shared" si="3"/>
        <v>0.16141959480909399</v>
      </c>
    </row>
    <row r="15" spans="1:13" ht="15.6" x14ac:dyDescent="0.3">
      <c r="A15" s="25" t="s">
        <v>103</v>
      </c>
      <c r="B15" s="25"/>
      <c r="C15" s="25"/>
      <c r="D15" s="25"/>
      <c r="E15" s="25"/>
      <c r="F15" s="70">
        <v>34824</v>
      </c>
      <c r="G15" s="72">
        <f t="shared" si="0"/>
        <v>2.5605650772423162E-3</v>
      </c>
      <c r="H15" s="70">
        <v>31701</v>
      </c>
      <c r="I15" s="72">
        <f t="shared" si="1"/>
        <v>4.1078790911792101E-3</v>
      </c>
      <c r="J15" s="71">
        <v>37672</v>
      </c>
      <c r="K15" s="72">
        <f t="shared" si="2"/>
        <v>7.2341397937217833E-3</v>
      </c>
      <c r="L15" s="71">
        <v>98518</v>
      </c>
      <c r="M15" s="72">
        <f t="shared" si="3"/>
        <v>1.5827649273250022E-2</v>
      </c>
    </row>
    <row r="16" spans="1:13" ht="15.6" x14ac:dyDescent="0.3">
      <c r="A16" s="25" t="s">
        <v>104</v>
      </c>
      <c r="B16" s="25"/>
      <c r="C16" s="25"/>
      <c r="D16" s="25"/>
      <c r="E16" s="25"/>
      <c r="F16" s="70">
        <v>1258503</v>
      </c>
      <c r="G16" s="72">
        <f t="shared" si="0"/>
        <v>9.2536148386305042E-2</v>
      </c>
      <c r="H16" s="70">
        <v>825833</v>
      </c>
      <c r="I16" s="72">
        <f t="shared" si="1"/>
        <v>0.10701309465019403</v>
      </c>
      <c r="J16" s="71">
        <v>755121</v>
      </c>
      <c r="K16" s="72">
        <f t="shared" si="2"/>
        <v>0.14500559766338361</v>
      </c>
      <c r="L16" s="71">
        <v>906226</v>
      </c>
      <c r="M16" s="72">
        <f t="shared" si="3"/>
        <v>0.14559194553584395</v>
      </c>
    </row>
    <row r="17" spans="1:13" ht="15.6" x14ac:dyDescent="0.3">
      <c r="A17" s="10" t="s">
        <v>105</v>
      </c>
      <c r="B17" s="10"/>
      <c r="C17" s="10"/>
      <c r="D17" s="10"/>
      <c r="E17" s="10"/>
      <c r="F17" s="70">
        <v>1290672.419</v>
      </c>
      <c r="G17" s="72">
        <f t="shared" si="0"/>
        <v>9.4901525449438945E-2</v>
      </c>
      <c r="H17" s="70">
        <v>856061.33900000004</v>
      </c>
      <c r="I17" s="72">
        <f t="shared" si="1"/>
        <v>0.11093014337859936</v>
      </c>
      <c r="J17" s="71">
        <v>717767.74</v>
      </c>
      <c r="K17" s="72">
        <f t="shared" si="2"/>
        <v>0.13783266539030981</v>
      </c>
      <c r="L17" s="71">
        <v>906226.31200000003</v>
      </c>
      <c r="M17" s="72">
        <f t="shared" si="3"/>
        <v>0.14559199566096398</v>
      </c>
    </row>
    <row r="38" spans="1:13" x14ac:dyDescent="0.3">
      <c r="A38" s="112" t="s">
        <v>88</v>
      </c>
      <c r="B38" s="112"/>
    </row>
    <row r="39" spans="1:13" x14ac:dyDescent="0.3">
      <c r="A39" s="112"/>
      <c r="B39" s="112"/>
    </row>
    <row r="40" spans="1:13" ht="18" x14ac:dyDescent="0.35">
      <c r="A40" s="16" t="s">
        <v>113</v>
      </c>
      <c r="B40" s="77" t="s">
        <v>114</v>
      </c>
      <c r="C40" s="77"/>
      <c r="D40" s="77"/>
      <c r="E40" s="77"/>
      <c r="F40" s="77"/>
      <c r="G40" s="77"/>
      <c r="H40" s="77"/>
    </row>
    <row r="41" spans="1:13" ht="18" x14ac:dyDescent="0.35">
      <c r="A41" s="16" t="s">
        <v>113</v>
      </c>
      <c r="B41" s="77" t="s">
        <v>115</v>
      </c>
      <c r="C41" s="77"/>
      <c r="D41" s="77"/>
      <c r="E41" s="77"/>
      <c r="F41" s="77"/>
      <c r="G41" s="77"/>
      <c r="H41" s="77"/>
    </row>
    <row r="42" spans="1:13" ht="18" x14ac:dyDescent="0.35">
      <c r="A42" s="16" t="s">
        <v>113</v>
      </c>
      <c r="B42" s="77" t="s">
        <v>116</v>
      </c>
      <c r="C42" s="77"/>
      <c r="D42" s="77"/>
      <c r="E42" s="77"/>
      <c r="F42" s="77"/>
      <c r="G42" s="77"/>
      <c r="H42" s="77"/>
    </row>
    <row r="43" spans="1:13" ht="18" x14ac:dyDescent="0.35">
      <c r="A43" s="16" t="s">
        <v>113</v>
      </c>
      <c r="B43" s="77" t="s">
        <v>117</v>
      </c>
      <c r="C43" s="77"/>
      <c r="D43" s="77"/>
      <c r="E43" s="77"/>
      <c r="F43" s="77"/>
      <c r="G43" s="77"/>
      <c r="H43" s="77"/>
    </row>
    <row r="44" spans="1:13" ht="15.6" x14ac:dyDescent="0.3">
      <c r="A44" s="101" t="s">
        <v>0</v>
      </c>
      <c r="B44" s="101"/>
      <c r="C44" s="101"/>
      <c r="D44" s="101"/>
      <c r="E44" s="101"/>
      <c r="F44" s="128" t="s">
        <v>3</v>
      </c>
      <c r="G44" s="5"/>
      <c r="H44" s="128" t="s">
        <v>4</v>
      </c>
      <c r="I44" s="5"/>
      <c r="J44" s="102" t="s">
        <v>5</v>
      </c>
      <c r="K44" s="5"/>
      <c r="L44" s="102" t="s">
        <v>6</v>
      </c>
      <c r="M44" s="78"/>
    </row>
    <row r="45" spans="1:13" ht="15.6" x14ac:dyDescent="0.3">
      <c r="A45" s="101" t="s">
        <v>107</v>
      </c>
      <c r="B45" s="101"/>
      <c r="C45" s="101"/>
      <c r="D45" s="101"/>
      <c r="E45" s="101"/>
      <c r="F45" s="128"/>
      <c r="G45" s="5"/>
      <c r="H45" s="128"/>
      <c r="I45" s="5"/>
      <c r="J45" s="102"/>
      <c r="K45" s="5"/>
      <c r="L45" s="102"/>
      <c r="M45" s="78"/>
    </row>
    <row r="46" spans="1:13" ht="15.6" x14ac:dyDescent="0.3">
      <c r="A46" s="6"/>
      <c r="B46" s="6"/>
      <c r="C46" s="6"/>
      <c r="D46" s="6"/>
      <c r="E46" s="6"/>
      <c r="F46" s="128"/>
      <c r="G46" s="74" t="s">
        <v>109</v>
      </c>
      <c r="H46" s="128"/>
      <c r="I46" s="74" t="s">
        <v>110</v>
      </c>
      <c r="J46" s="102"/>
      <c r="K46" s="74" t="s">
        <v>111</v>
      </c>
      <c r="L46" s="102"/>
      <c r="M46" s="76" t="s">
        <v>112</v>
      </c>
    </row>
    <row r="47" spans="1:13" ht="15.6" x14ac:dyDescent="0.3">
      <c r="A47" s="7" t="s">
        <v>7</v>
      </c>
      <c r="B47" s="8"/>
      <c r="C47" s="8"/>
      <c r="D47" s="8"/>
      <c r="E47" s="8"/>
      <c r="F47" s="9"/>
      <c r="G47" s="9"/>
      <c r="H47" s="9"/>
      <c r="I47" s="9"/>
      <c r="J47" s="9"/>
      <c r="K47" s="9"/>
      <c r="L47" s="9"/>
      <c r="M47" s="9"/>
    </row>
    <row r="48" spans="1:13" ht="15.6" x14ac:dyDescent="0.3">
      <c r="A48" s="10" t="s">
        <v>49</v>
      </c>
      <c r="B48" s="10"/>
      <c r="C48" s="10"/>
      <c r="D48" s="10"/>
      <c r="E48" s="10"/>
      <c r="F48" s="4">
        <v>51540737</v>
      </c>
      <c r="G48" s="79">
        <f>F48/$F$61</f>
        <v>0.27579824081445126</v>
      </c>
      <c r="H48" s="4">
        <v>32252243</v>
      </c>
      <c r="I48" s="79">
        <f>H48/$H$61</f>
        <v>0.26455546076515896</v>
      </c>
      <c r="J48" s="4">
        <v>26214250479</v>
      </c>
      <c r="K48" s="79">
        <f>J48/$J$61</f>
        <v>0.2484538421527297</v>
      </c>
      <c r="L48" s="4">
        <v>30876257819</v>
      </c>
      <c r="M48" s="79">
        <f>L48/$L$61</f>
        <v>0.31704883663224315</v>
      </c>
    </row>
    <row r="49" spans="1:13" ht="15.6" x14ac:dyDescent="0.3">
      <c r="A49" s="10" t="s">
        <v>50</v>
      </c>
      <c r="B49" s="10"/>
      <c r="C49" s="10"/>
      <c r="D49" s="10"/>
      <c r="E49" s="10"/>
      <c r="F49" s="4">
        <v>57928603</v>
      </c>
      <c r="G49" s="79">
        <f t="shared" ref="G49:G83" si="4">F49/$F$61</f>
        <v>0.30998017743205231</v>
      </c>
      <c r="H49" s="4">
        <v>40221897</v>
      </c>
      <c r="I49" s="79">
        <f t="shared" ref="I49:I83" si="5">H49/$H$61</f>
        <v>0.32992813844555757</v>
      </c>
      <c r="J49" s="4">
        <v>33222142228</v>
      </c>
      <c r="K49" s="79">
        <f t="shared" ref="K49:K83" si="6">J49/$J$61</f>
        <v>0.31487335057332227</v>
      </c>
      <c r="L49" s="4">
        <v>19999896526</v>
      </c>
      <c r="M49" s="79">
        <f t="shared" ref="M49:M83" si="7">L49/$L$61</f>
        <v>0.20536633563253837</v>
      </c>
    </row>
    <row r="50" spans="1:13" ht="15.6" x14ac:dyDescent="0.3">
      <c r="A50" s="10" t="s">
        <v>51</v>
      </c>
      <c r="B50" s="10"/>
      <c r="C50" s="10"/>
      <c r="D50" s="10"/>
      <c r="E50" s="10"/>
      <c r="F50" s="4">
        <v>15773382</v>
      </c>
      <c r="G50" s="79">
        <f t="shared" si="4"/>
        <v>8.4404516902704188E-2</v>
      </c>
      <c r="H50" s="4">
        <v>6770962</v>
      </c>
      <c r="I50" s="79">
        <f t="shared" si="5"/>
        <v>5.5540167291105377E-2</v>
      </c>
      <c r="J50" s="4">
        <v>5569133136</v>
      </c>
      <c r="K50" s="79">
        <f t="shared" si="6"/>
        <v>5.2783219043692597E-2</v>
      </c>
      <c r="L50" s="4">
        <v>5611375904</v>
      </c>
      <c r="M50" s="79">
        <f t="shared" si="7"/>
        <v>5.7619683470016489E-2</v>
      </c>
    </row>
    <row r="51" spans="1:13" ht="15.6" x14ac:dyDescent="0.3">
      <c r="A51" s="10" t="s">
        <v>52</v>
      </c>
      <c r="B51" s="10"/>
      <c r="C51" s="10"/>
      <c r="D51" s="10"/>
      <c r="E51" s="10"/>
      <c r="F51" s="4">
        <v>23488674</v>
      </c>
      <c r="G51" s="79">
        <f t="shared" si="4"/>
        <v>0.12568960681070859</v>
      </c>
      <c r="H51" s="4">
        <v>9196191</v>
      </c>
      <c r="I51" s="79">
        <f t="shared" si="5"/>
        <v>7.5433592240062436E-2</v>
      </c>
      <c r="J51" s="23">
        <v>6772893362</v>
      </c>
      <c r="K51" s="79">
        <f t="shared" si="6"/>
        <v>6.4192236952479567E-2</v>
      </c>
      <c r="L51" s="23">
        <v>8002539778</v>
      </c>
      <c r="M51" s="79">
        <f t="shared" si="7"/>
        <v>8.2173038636724358E-2</v>
      </c>
    </row>
    <row r="52" spans="1:13" ht="15.6" x14ac:dyDescent="0.3">
      <c r="A52" s="10" t="s">
        <v>125</v>
      </c>
      <c r="B52" s="10"/>
      <c r="C52" s="10"/>
      <c r="D52" s="10"/>
      <c r="E52" s="10"/>
      <c r="F52" s="4">
        <v>12374218</v>
      </c>
      <c r="G52" s="79">
        <f t="shared" si="4"/>
        <v>6.6215342552329387E-2</v>
      </c>
      <c r="H52" s="4">
        <v>11647611</v>
      </c>
      <c r="I52" s="79">
        <f t="shared" si="5"/>
        <v>9.5541854094251186E-2</v>
      </c>
      <c r="J52" s="4">
        <v>14080120999</v>
      </c>
      <c r="K52" s="79">
        <f t="shared" si="6"/>
        <v>0.13344879583642133</v>
      </c>
      <c r="L52" s="4">
        <v>16820480365</v>
      </c>
      <c r="M52" s="79">
        <f t="shared" si="7"/>
        <v>0.17271891440280301</v>
      </c>
    </row>
    <row r="53" spans="1:13" ht="15.6" x14ac:dyDescent="0.3">
      <c r="A53" s="10" t="s">
        <v>53</v>
      </c>
      <c r="B53" s="10"/>
      <c r="C53" s="10"/>
      <c r="D53" s="10"/>
      <c r="E53" s="10"/>
      <c r="F53" s="4">
        <v>12487545</v>
      </c>
      <c r="G53" s="79">
        <f t="shared" si="4"/>
        <v>6.6821763590444908E-2</v>
      </c>
      <c r="H53" s="4">
        <v>11233860</v>
      </c>
      <c r="I53" s="79">
        <f t="shared" si="5"/>
        <v>9.2147978931923863E-2</v>
      </c>
      <c r="J53" s="4">
        <v>11518692377</v>
      </c>
      <c r="K53" s="79">
        <f t="shared" si="6"/>
        <v>0.10917204670542162</v>
      </c>
      <c r="L53" s="4">
        <v>10050278918</v>
      </c>
      <c r="M53" s="79">
        <f t="shared" si="7"/>
        <v>0.10319998159947544</v>
      </c>
    </row>
    <row r="54" spans="1:13" ht="15.6" x14ac:dyDescent="0.3">
      <c r="A54" s="25" t="s">
        <v>54</v>
      </c>
      <c r="B54" s="25"/>
      <c r="C54" s="25"/>
      <c r="D54" s="25"/>
      <c r="E54" s="25"/>
      <c r="F54" s="23">
        <v>106304</v>
      </c>
      <c r="G54" s="79">
        <f t="shared" si="4"/>
        <v>5.6884045316502616E-4</v>
      </c>
      <c r="H54" s="23" t="s">
        <v>2</v>
      </c>
      <c r="I54" s="79"/>
      <c r="J54" s="23">
        <v>349701081</v>
      </c>
      <c r="K54" s="79">
        <f t="shared" si="6"/>
        <v>3.3144024945140202E-3</v>
      </c>
      <c r="L54" s="23">
        <v>310745145</v>
      </c>
      <c r="M54" s="79">
        <f t="shared" si="7"/>
        <v>3.1908460956930353E-3</v>
      </c>
    </row>
    <row r="55" spans="1:13" ht="15.6" x14ac:dyDescent="0.3">
      <c r="A55" s="10" t="s">
        <v>55</v>
      </c>
      <c r="B55" s="10"/>
      <c r="C55" s="10"/>
      <c r="D55" s="10"/>
      <c r="E55" s="10"/>
      <c r="F55" s="23">
        <v>804867</v>
      </c>
      <c r="G55" s="79">
        <f t="shared" si="4"/>
        <v>4.3069019888016917E-3</v>
      </c>
      <c r="H55" s="23">
        <v>844793</v>
      </c>
      <c r="I55" s="79">
        <f t="shared" si="5"/>
        <v>6.9295832034435853E-3</v>
      </c>
      <c r="J55" s="23">
        <v>606432818</v>
      </c>
      <c r="K55" s="79">
        <f t="shared" si="6"/>
        <v>5.7476586546049788E-3</v>
      </c>
      <c r="L55" s="23">
        <v>461315552</v>
      </c>
      <c r="M55" s="79">
        <f t="shared" si="7"/>
        <v>4.7369587318304767E-3</v>
      </c>
    </row>
    <row r="56" spans="1:13" ht="15.6" x14ac:dyDescent="0.3">
      <c r="A56" s="10" t="s">
        <v>56</v>
      </c>
      <c r="B56" s="10"/>
      <c r="C56" s="10"/>
      <c r="D56" s="10"/>
      <c r="E56" s="10"/>
      <c r="F56" s="23">
        <v>90283</v>
      </c>
      <c r="G56" s="79">
        <f t="shared" si="4"/>
        <v>4.831109142938935E-4</v>
      </c>
      <c r="H56" s="23">
        <v>98701</v>
      </c>
      <c r="I56" s="79">
        <f t="shared" si="5"/>
        <v>8.0961465325006868E-4</v>
      </c>
      <c r="J56" s="23">
        <v>118984442</v>
      </c>
      <c r="K56" s="79">
        <f t="shared" si="6"/>
        <v>1.127712646027419E-3</v>
      </c>
      <c r="L56" s="23">
        <v>125529472</v>
      </c>
      <c r="M56" s="79">
        <f t="shared" si="7"/>
        <v>1.2889830527379863E-3</v>
      </c>
    </row>
    <row r="57" spans="1:13" ht="15.6" x14ac:dyDescent="0.3">
      <c r="A57" s="25" t="s">
        <v>57</v>
      </c>
      <c r="B57" s="25"/>
      <c r="C57" s="25"/>
      <c r="D57" s="25"/>
      <c r="E57" s="25"/>
      <c r="F57" s="4">
        <v>2975630</v>
      </c>
      <c r="G57" s="79">
        <f t="shared" si="4"/>
        <v>1.592281304232622E-2</v>
      </c>
      <c r="H57" s="4">
        <v>2177789</v>
      </c>
      <c r="I57" s="79">
        <f t="shared" si="5"/>
        <v>1.7863748959856676E-2</v>
      </c>
      <c r="J57" s="4">
        <v>1636042509</v>
      </c>
      <c r="K57" s="79">
        <f t="shared" si="6"/>
        <v>1.5506109839450499E-2</v>
      </c>
      <c r="L57" s="4">
        <v>1522312110</v>
      </c>
      <c r="M57" s="79">
        <f t="shared" si="7"/>
        <v>1.5631663859526194E-2</v>
      </c>
    </row>
    <row r="58" spans="1:13" ht="15.6" x14ac:dyDescent="0.3">
      <c r="A58" s="25" t="s">
        <v>58</v>
      </c>
      <c r="B58" s="25"/>
      <c r="C58" s="25"/>
      <c r="D58" s="25"/>
      <c r="E58" s="25"/>
      <c r="F58" s="4">
        <v>2490920</v>
      </c>
      <c r="G58" s="79">
        <f t="shared" si="4"/>
        <v>1.3329094498775463E-2</v>
      </c>
      <c r="H58" s="4">
        <v>2318723</v>
      </c>
      <c r="I58" s="79">
        <f t="shared" si="5"/>
        <v>1.9019788225326583E-2</v>
      </c>
      <c r="J58" s="4">
        <v>1954749801</v>
      </c>
      <c r="K58" s="79">
        <f t="shared" si="6"/>
        <v>1.8526758905229649E-2</v>
      </c>
      <c r="L58" s="4">
        <v>993839079</v>
      </c>
      <c r="M58" s="79">
        <f t="shared" si="7"/>
        <v>1.0205107291295933E-2</v>
      </c>
    </row>
    <row r="59" spans="1:13" ht="15.6" x14ac:dyDescent="0.3">
      <c r="A59" s="10" t="s">
        <v>59</v>
      </c>
      <c r="B59" s="10"/>
      <c r="C59" s="10"/>
      <c r="D59" s="10"/>
      <c r="E59" s="10"/>
      <c r="F59" s="4">
        <v>233912</v>
      </c>
      <c r="G59" s="79">
        <f t="shared" si="4"/>
        <v>1.2516801633121763E-3</v>
      </c>
      <c r="H59" s="4">
        <v>126411</v>
      </c>
      <c r="I59" s="79">
        <f t="shared" si="5"/>
        <v>1.0369114591746228E-3</v>
      </c>
      <c r="J59" s="4">
        <v>64486447</v>
      </c>
      <c r="K59" s="79">
        <f t="shared" si="6"/>
        <v>6.1119067801550817E-4</v>
      </c>
      <c r="L59" s="4">
        <v>47607209</v>
      </c>
      <c r="M59" s="79">
        <f t="shared" si="7"/>
        <v>4.8884843225625407E-4</v>
      </c>
    </row>
    <row r="60" spans="1:13" ht="15.6" x14ac:dyDescent="0.3">
      <c r="A60" s="25" t="s">
        <v>60</v>
      </c>
      <c r="B60" s="25"/>
      <c r="C60" s="25"/>
      <c r="D60" s="25"/>
      <c r="E60" s="25"/>
      <c r="F60" s="4">
        <v>6583336</v>
      </c>
      <c r="G60" s="79">
        <f t="shared" si="4"/>
        <v>3.5227910836634846E-2</v>
      </c>
      <c r="H60" s="4">
        <v>5021903</v>
      </c>
      <c r="I60" s="79">
        <f t="shared" si="5"/>
        <v>4.119316173088905E-2</v>
      </c>
      <c r="J60" s="4">
        <v>3401909847</v>
      </c>
      <c r="K60" s="79">
        <f t="shared" si="6"/>
        <v>3.224267551809086E-2</v>
      </c>
      <c r="L60" s="4">
        <v>2564263111</v>
      </c>
      <c r="M60" s="79">
        <f t="shared" si="7"/>
        <v>2.6330802162859299E-2</v>
      </c>
    </row>
    <row r="61" spans="1:13" ht="15.6" x14ac:dyDescent="0.3">
      <c r="A61" s="26" t="s">
        <v>61</v>
      </c>
      <c r="B61" s="26"/>
      <c r="C61" s="26"/>
      <c r="D61" s="26"/>
      <c r="E61" s="26"/>
      <c r="F61" s="27">
        <v>186878411</v>
      </c>
      <c r="G61" s="79">
        <f t="shared" si="4"/>
        <v>1</v>
      </c>
      <c r="H61" s="27">
        <v>121911084</v>
      </c>
      <c r="I61" s="79">
        <f t="shared" si="5"/>
        <v>1</v>
      </c>
      <c r="J61" s="27">
        <v>105509539526</v>
      </c>
      <c r="K61" s="79">
        <f t="shared" si="6"/>
        <v>1</v>
      </c>
      <c r="L61" s="27">
        <v>97386440988</v>
      </c>
      <c r="M61" s="79">
        <f t="shared" si="7"/>
        <v>1</v>
      </c>
    </row>
    <row r="62" spans="1:13" ht="15.6" x14ac:dyDescent="0.3">
      <c r="A62" s="10" t="s">
        <v>62</v>
      </c>
      <c r="B62" s="25"/>
      <c r="C62" s="25"/>
      <c r="D62" s="25"/>
      <c r="E62" s="25"/>
      <c r="F62" s="4"/>
      <c r="G62" s="79"/>
      <c r="H62" s="4"/>
      <c r="I62" s="79">
        <f t="shared" si="5"/>
        <v>0</v>
      </c>
      <c r="J62" s="23"/>
      <c r="K62" s="79">
        <f t="shared" si="6"/>
        <v>0</v>
      </c>
      <c r="L62" s="23"/>
      <c r="M62" s="79">
        <f t="shared" si="7"/>
        <v>0</v>
      </c>
    </row>
    <row r="63" spans="1:13" ht="15.6" x14ac:dyDescent="0.3">
      <c r="A63" s="25" t="s">
        <v>63</v>
      </c>
      <c r="B63" s="25"/>
      <c r="C63" s="25"/>
      <c r="D63" s="25"/>
      <c r="E63" s="25"/>
      <c r="F63" s="4">
        <v>22762916</v>
      </c>
      <c r="G63" s="79">
        <f t="shared" si="4"/>
        <v>0.12180602284765789</v>
      </c>
      <c r="H63" s="4">
        <v>14055729</v>
      </c>
      <c r="I63" s="79">
        <f t="shared" si="5"/>
        <v>0.11529492265034737</v>
      </c>
      <c r="J63" s="4">
        <v>12371835820</v>
      </c>
      <c r="K63" s="79">
        <f t="shared" si="6"/>
        <v>0.11725798326464397</v>
      </c>
      <c r="L63" s="4">
        <v>17736580111</v>
      </c>
      <c r="M63" s="79">
        <f t="shared" si="7"/>
        <v>0.18212576546652434</v>
      </c>
    </row>
    <row r="64" spans="1:13" ht="15.6" x14ac:dyDescent="0.3">
      <c r="A64" s="10" t="s">
        <v>64</v>
      </c>
      <c r="B64" s="10"/>
      <c r="C64" s="10"/>
      <c r="D64" s="10"/>
      <c r="E64" s="10"/>
      <c r="F64" s="4">
        <v>67208585</v>
      </c>
      <c r="G64" s="79">
        <f t="shared" si="4"/>
        <v>0.35963803759012059</v>
      </c>
      <c r="H64" s="4">
        <v>50634207</v>
      </c>
      <c r="I64" s="79">
        <f t="shared" si="5"/>
        <v>0.41533718952084786</v>
      </c>
      <c r="J64" s="4">
        <v>48130171764</v>
      </c>
      <c r="K64" s="79">
        <f t="shared" si="6"/>
        <v>0.45616891117356839</v>
      </c>
      <c r="L64" s="4">
        <v>38564737371</v>
      </c>
      <c r="M64" s="79">
        <f t="shared" si="7"/>
        <v>0.39599698869529448</v>
      </c>
    </row>
    <row r="65" spans="1:13" ht="15.6" x14ac:dyDescent="0.3">
      <c r="A65" s="25" t="s">
        <v>65</v>
      </c>
      <c r="B65" s="25"/>
      <c r="C65" s="25"/>
      <c r="D65" s="25"/>
      <c r="E65" s="25"/>
      <c r="F65" s="4">
        <v>11489567</v>
      </c>
      <c r="G65" s="79">
        <f t="shared" si="4"/>
        <v>6.1481510563571734E-2</v>
      </c>
      <c r="H65" s="4">
        <v>8130903</v>
      </c>
      <c r="I65" s="79">
        <f t="shared" si="5"/>
        <v>6.6695354788248784E-2</v>
      </c>
      <c r="J65" s="4">
        <v>5408502064</v>
      </c>
      <c r="K65" s="79">
        <f t="shared" si="6"/>
        <v>5.1260787302244072E-2</v>
      </c>
      <c r="L65" s="4">
        <v>5963333876</v>
      </c>
      <c r="M65" s="79">
        <f t="shared" si="7"/>
        <v>6.1233718118262524E-2</v>
      </c>
    </row>
    <row r="66" spans="1:13" ht="15.6" x14ac:dyDescent="0.3">
      <c r="A66" s="25" t="s">
        <v>66</v>
      </c>
      <c r="B66" s="25"/>
      <c r="C66" s="25"/>
      <c r="D66" s="25"/>
      <c r="E66" s="25"/>
      <c r="F66" s="4">
        <v>11130638</v>
      </c>
      <c r="G66" s="79">
        <f t="shared" si="4"/>
        <v>5.9560855319986644E-2</v>
      </c>
      <c r="H66" s="4">
        <v>6216904</v>
      </c>
      <c r="I66" s="79">
        <f t="shared" si="5"/>
        <v>5.0995395955957541E-2</v>
      </c>
      <c r="J66" s="4">
        <v>4570191615</v>
      </c>
      <c r="K66" s="79">
        <f t="shared" si="6"/>
        <v>4.3315435130619626E-2</v>
      </c>
      <c r="L66" s="4">
        <v>3069703383</v>
      </c>
      <c r="M66" s="79">
        <f t="shared" si="7"/>
        <v>3.1520849841696653E-2</v>
      </c>
    </row>
    <row r="67" spans="1:13" ht="15.6" x14ac:dyDescent="0.3">
      <c r="A67" s="25" t="s">
        <v>67</v>
      </c>
      <c r="B67" s="25"/>
      <c r="C67" s="25"/>
      <c r="D67" s="25"/>
      <c r="E67" s="25"/>
      <c r="F67" s="4">
        <v>7901466</v>
      </c>
      <c r="G67" s="79">
        <f t="shared" si="4"/>
        <v>4.2281320553394473E-2</v>
      </c>
      <c r="H67" s="4">
        <v>680319</v>
      </c>
      <c r="I67" s="79">
        <f t="shared" si="5"/>
        <v>5.5804523893824122E-3</v>
      </c>
      <c r="J67" s="4">
        <v>379039443</v>
      </c>
      <c r="K67" s="79">
        <f t="shared" si="6"/>
        <v>3.5924660907708339E-3</v>
      </c>
      <c r="L67" s="4">
        <v>3890060348</v>
      </c>
      <c r="M67" s="79">
        <f t="shared" si="7"/>
        <v>3.9944578614176225E-2</v>
      </c>
    </row>
    <row r="68" spans="1:13" ht="15.6" x14ac:dyDescent="0.3">
      <c r="A68" s="25" t="s">
        <v>68</v>
      </c>
      <c r="B68" s="25"/>
      <c r="C68" s="25"/>
      <c r="D68" s="25"/>
      <c r="E68" s="25"/>
      <c r="F68" s="4">
        <v>20566943</v>
      </c>
      <c r="G68" s="79">
        <f t="shared" si="4"/>
        <v>0.1100552112464184</v>
      </c>
      <c r="H68" s="4">
        <v>11319690</v>
      </c>
      <c r="I68" s="79">
        <f t="shared" si="5"/>
        <v>9.2852016638618362E-2</v>
      </c>
      <c r="J68" s="4">
        <v>9595446350</v>
      </c>
      <c r="K68" s="79">
        <f t="shared" si="6"/>
        <v>9.0943874772910549E-2</v>
      </c>
      <c r="L68" s="4">
        <v>8537833096</v>
      </c>
      <c r="M68" s="79">
        <f t="shared" si="7"/>
        <v>8.7669628434743144E-2</v>
      </c>
    </row>
    <row r="69" spans="1:13" ht="15.6" x14ac:dyDescent="0.3">
      <c r="A69" s="25" t="s">
        <v>69</v>
      </c>
      <c r="B69" s="25"/>
      <c r="C69" s="25"/>
      <c r="D69" s="25"/>
      <c r="E69" s="25"/>
      <c r="F69" s="4">
        <v>1432665</v>
      </c>
      <c r="G69" s="79">
        <f t="shared" si="4"/>
        <v>7.6662948509338517E-3</v>
      </c>
      <c r="H69" s="4">
        <v>749003</v>
      </c>
      <c r="I69" s="79">
        <f t="shared" si="5"/>
        <v>6.1438466087300149E-3</v>
      </c>
      <c r="J69" s="4">
        <v>500000000</v>
      </c>
      <c r="K69" s="79">
        <f t="shared" si="6"/>
        <v>4.7389079911280283E-3</v>
      </c>
      <c r="L69" s="4">
        <v>550000000</v>
      </c>
      <c r="M69" s="79">
        <f t="shared" si="7"/>
        <v>5.6476034489007692E-3</v>
      </c>
    </row>
    <row r="70" spans="1:13" ht="15.6" x14ac:dyDescent="0.3">
      <c r="A70" s="25" t="s">
        <v>47</v>
      </c>
      <c r="B70" s="25"/>
      <c r="C70" s="25"/>
      <c r="D70" s="25"/>
      <c r="E70" s="25"/>
      <c r="F70" s="4">
        <v>1913277</v>
      </c>
      <c r="G70" s="79">
        <f t="shared" si="4"/>
        <v>1.0238084697755697E-2</v>
      </c>
      <c r="H70" s="4">
        <v>1099271</v>
      </c>
      <c r="I70" s="79">
        <f t="shared" si="5"/>
        <v>9.0169897923309417E-3</v>
      </c>
      <c r="J70" s="4">
        <v>903715808</v>
      </c>
      <c r="K70" s="79">
        <f t="shared" si="6"/>
        <v>8.5652521284798472E-3</v>
      </c>
      <c r="L70" s="4">
        <v>690001941</v>
      </c>
      <c r="M70" s="79">
        <f t="shared" si="7"/>
        <v>7.0851951667996816E-3</v>
      </c>
    </row>
    <row r="71" spans="1:13" ht="15.6" x14ac:dyDescent="0.3">
      <c r="A71" s="25" t="s">
        <v>70</v>
      </c>
      <c r="B71" s="25"/>
      <c r="C71" s="25"/>
      <c r="D71" s="25"/>
      <c r="E71" s="25"/>
      <c r="F71" s="4">
        <v>1020705</v>
      </c>
      <c r="G71" s="79">
        <f t="shared" si="4"/>
        <v>5.4618668605866949E-3</v>
      </c>
      <c r="H71" s="4">
        <v>638583</v>
      </c>
      <c r="I71" s="79">
        <f t="shared" si="5"/>
        <v>5.2381045188639288E-3</v>
      </c>
      <c r="J71" s="4">
        <v>473873472</v>
      </c>
      <c r="K71" s="79">
        <f t="shared" si="6"/>
        <v>4.4912855664887685E-3</v>
      </c>
      <c r="L71" s="4">
        <v>363572503</v>
      </c>
      <c r="M71" s="79">
        <f t="shared" si="7"/>
        <v>3.7332969488514276E-3</v>
      </c>
    </row>
    <row r="72" spans="1:13" ht="15.6" x14ac:dyDescent="0.3">
      <c r="A72" s="10" t="s">
        <v>71</v>
      </c>
      <c r="B72" s="10"/>
      <c r="C72" s="10"/>
      <c r="D72" s="10"/>
      <c r="E72" s="10"/>
      <c r="F72" s="4">
        <v>2083684</v>
      </c>
      <c r="G72" s="79">
        <f t="shared" si="4"/>
        <v>1.1149944976790283E-2</v>
      </c>
      <c r="H72" s="4">
        <v>987436</v>
      </c>
      <c r="I72" s="79">
        <f t="shared" si="5"/>
        <v>8.0996408825304185E-3</v>
      </c>
      <c r="J72" s="4">
        <v>800661223</v>
      </c>
      <c r="K72" s="79">
        <f t="shared" si="6"/>
        <v>7.5885197357220815E-3</v>
      </c>
      <c r="L72" s="4">
        <v>416130589</v>
      </c>
      <c r="M72" s="79">
        <f t="shared" si="7"/>
        <v>4.2729828175081972E-3</v>
      </c>
    </row>
    <row r="73" spans="1:13" ht="15.6" x14ac:dyDescent="0.3">
      <c r="A73" s="24" t="s">
        <v>72</v>
      </c>
      <c r="B73" s="24"/>
      <c r="C73" s="24"/>
      <c r="D73" s="24"/>
      <c r="E73" s="24"/>
      <c r="F73" s="27">
        <v>147510446</v>
      </c>
      <c r="G73" s="79">
        <f t="shared" si="4"/>
        <v>0.78933914950721618</v>
      </c>
      <c r="H73" s="27">
        <v>94512045</v>
      </c>
      <c r="I73" s="79">
        <f t="shared" si="5"/>
        <v>0.77525391374585761</v>
      </c>
      <c r="J73" s="27">
        <v>83133437559</v>
      </c>
      <c r="K73" s="79">
        <f t="shared" si="6"/>
        <v>0.78792342315657615</v>
      </c>
      <c r="L73" s="27">
        <v>79781953218</v>
      </c>
      <c r="M73" s="79">
        <f t="shared" si="7"/>
        <v>0.81923060755275745</v>
      </c>
    </row>
    <row r="74" spans="1:13" ht="15.6" x14ac:dyDescent="0.3">
      <c r="A74" s="25" t="s">
        <v>73</v>
      </c>
      <c r="B74" s="25"/>
      <c r="C74" s="25"/>
      <c r="D74" s="25"/>
      <c r="E74" s="25"/>
      <c r="F74" s="4"/>
      <c r="G74" s="79"/>
      <c r="H74" s="4"/>
      <c r="I74" s="79">
        <f t="shared" si="5"/>
        <v>0</v>
      </c>
      <c r="J74" s="4"/>
      <c r="K74" s="79">
        <f t="shared" si="6"/>
        <v>0</v>
      </c>
      <c r="L74" s="4"/>
      <c r="M74" s="79">
        <f t="shared" si="7"/>
        <v>0</v>
      </c>
    </row>
    <row r="75" spans="1:13" ht="15.6" x14ac:dyDescent="0.3">
      <c r="A75" s="10" t="s">
        <v>74</v>
      </c>
      <c r="B75" s="10"/>
      <c r="C75" s="10"/>
      <c r="D75" s="10"/>
      <c r="E75" s="10"/>
      <c r="F75" s="23">
        <v>7298030</v>
      </c>
      <c r="G75" s="79">
        <f t="shared" si="4"/>
        <v>3.9052290529161232E-2</v>
      </c>
      <c r="H75" s="23">
        <v>7298030</v>
      </c>
      <c r="I75" s="79">
        <f t="shared" si="5"/>
        <v>5.9863547764040882E-2</v>
      </c>
      <c r="J75" s="23">
        <v>5838424030</v>
      </c>
      <c r="K75" s="79">
        <f t="shared" si="6"/>
        <v>5.5335508582721821E-2</v>
      </c>
      <c r="L75" s="23">
        <v>4865353355</v>
      </c>
      <c r="M75" s="79">
        <f t="shared" si="7"/>
        <v>4.9959247977852596E-2</v>
      </c>
    </row>
    <row r="76" spans="1:13" ht="15.6" x14ac:dyDescent="0.3">
      <c r="A76" s="25" t="s">
        <v>75</v>
      </c>
      <c r="B76" s="25"/>
      <c r="C76" s="25"/>
      <c r="D76" s="25"/>
      <c r="E76" s="25"/>
      <c r="F76" s="4">
        <v>993689</v>
      </c>
      <c r="G76" s="79">
        <f t="shared" si="4"/>
        <v>5.3173022752210797E-3</v>
      </c>
      <c r="H76" s="4">
        <v>972344</v>
      </c>
      <c r="I76" s="79">
        <f t="shared" si="5"/>
        <v>7.9758457401625602E-3</v>
      </c>
      <c r="J76" s="4">
        <v>867454520</v>
      </c>
      <c r="K76" s="79">
        <f t="shared" si="6"/>
        <v>8.2215743135362566E-3</v>
      </c>
      <c r="L76" s="4">
        <v>840272556</v>
      </c>
      <c r="M76" s="79">
        <f t="shared" si="7"/>
        <v>8.6282294277859346E-3</v>
      </c>
    </row>
    <row r="77" spans="1:13" ht="15.6" x14ac:dyDescent="0.3">
      <c r="A77" s="25" t="s">
        <v>76</v>
      </c>
      <c r="B77" s="25"/>
      <c r="C77" s="25"/>
      <c r="D77" s="25"/>
      <c r="E77" s="25"/>
      <c r="F77" s="4">
        <v>1797838</v>
      </c>
      <c r="G77" s="79">
        <f t="shared" si="4"/>
        <v>9.6203621936832504E-3</v>
      </c>
      <c r="H77" s="4">
        <v>1668624</v>
      </c>
      <c r="I77" s="79">
        <f t="shared" si="5"/>
        <v>1.3687221417865499E-2</v>
      </c>
      <c r="J77" s="4">
        <v>1668623811</v>
      </c>
      <c r="K77" s="79">
        <f t="shared" si="6"/>
        <v>1.581490942426881E-2</v>
      </c>
      <c r="L77" s="4">
        <v>1668623811</v>
      </c>
      <c r="M77" s="79">
        <f t="shared" si="7"/>
        <v>1.7134046527130083E-2</v>
      </c>
    </row>
    <row r="78" spans="1:13" ht="15.6" x14ac:dyDescent="0.3">
      <c r="A78" s="25" t="s">
        <v>77</v>
      </c>
      <c r="B78" s="25"/>
      <c r="C78" s="25"/>
      <c r="D78" s="25"/>
      <c r="E78" s="25"/>
      <c r="F78" s="4">
        <v>11800563</v>
      </c>
      <c r="G78" s="79">
        <f t="shared" si="4"/>
        <v>6.3145672830019942E-2</v>
      </c>
      <c r="H78" s="4">
        <v>4843110</v>
      </c>
      <c r="I78" s="79">
        <f t="shared" si="5"/>
        <v>3.9726576461251051E-2</v>
      </c>
      <c r="J78" s="4">
        <v>3125555888</v>
      </c>
      <c r="K78" s="79">
        <f t="shared" si="6"/>
        <v>2.9623443548720922E-2</v>
      </c>
      <c r="L78" s="4">
        <v>783420592</v>
      </c>
      <c r="M78" s="79">
        <f t="shared" si="7"/>
        <v>8.0444524314892407E-3</v>
      </c>
    </row>
    <row r="79" spans="1:13" ht="15.6" x14ac:dyDescent="0.3">
      <c r="A79" s="10" t="s">
        <v>78</v>
      </c>
      <c r="B79" s="10"/>
      <c r="C79" s="10"/>
      <c r="D79" s="10"/>
      <c r="E79" s="10"/>
      <c r="F79" s="4">
        <v>12568681</v>
      </c>
      <c r="G79" s="79">
        <f t="shared" si="4"/>
        <v>6.7255928240956636E-2</v>
      </c>
      <c r="H79" s="4">
        <v>8534456</v>
      </c>
      <c r="I79" s="79">
        <f t="shared" si="5"/>
        <v>7.0005578820052164E-2</v>
      </c>
      <c r="J79" s="4">
        <v>7460139693</v>
      </c>
      <c r="K79" s="79">
        <f t="shared" si="6"/>
        <v>7.0705831212178202E-2</v>
      </c>
      <c r="L79" s="4">
        <v>6486918967</v>
      </c>
      <c r="M79" s="79">
        <f t="shared" si="7"/>
        <v>6.661008351048911E-2</v>
      </c>
    </row>
    <row r="80" spans="1:13" ht="15.6" x14ac:dyDescent="0.3">
      <c r="A80" s="25" t="s">
        <v>79</v>
      </c>
      <c r="B80" s="25"/>
      <c r="C80" s="25"/>
      <c r="D80" s="25"/>
      <c r="E80" s="25"/>
      <c r="F80" s="4">
        <v>34058826</v>
      </c>
      <c r="G80" s="79">
        <f t="shared" si="4"/>
        <v>0.18225126068735675</v>
      </c>
      <c r="H80" s="4">
        <v>23316564</v>
      </c>
      <c r="I80" s="79">
        <f t="shared" si="5"/>
        <v>0.19125877020337215</v>
      </c>
      <c r="J80" s="4">
        <v>18960197942</v>
      </c>
      <c r="K80" s="79">
        <f t="shared" si="6"/>
        <v>0.179701267081426</v>
      </c>
      <c r="L80" s="4">
        <v>14644589281</v>
      </c>
      <c r="M80" s="79">
        <f t="shared" si="7"/>
        <v>0.15037605987474698</v>
      </c>
    </row>
    <row r="81" spans="1:13" ht="15.6" x14ac:dyDescent="0.3">
      <c r="A81" s="25" t="s">
        <v>48</v>
      </c>
      <c r="B81" s="25"/>
      <c r="C81" s="25"/>
      <c r="D81" s="25"/>
      <c r="E81" s="25"/>
      <c r="F81" s="4">
        <v>5309139</v>
      </c>
      <c r="G81" s="79">
        <f t="shared" si="4"/>
        <v>2.8409589805427016E-2</v>
      </c>
      <c r="H81" s="4">
        <v>4082475</v>
      </c>
      <c r="I81" s="79">
        <f t="shared" si="5"/>
        <v>3.3487316050770245E-2</v>
      </c>
      <c r="J81" s="4">
        <v>3415904025</v>
      </c>
      <c r="K81" s="79">
        <f t="shared" si="6"/>
        <v>3.2375309761997796E-2</v>
      </c>
      <c r="L81" s="4">
        <v>2959898489</v>
      </c>
      <c r="M81" s="79">
        <f t="shared" si="7"/>
        <v>3.0393332572495591E-2</v>
      </c>
    </row>
    <row r="82" spans="1:13" ht="15.6" x14ac:dyDescent="0.3">
      <c r="A82" s="26" t="s">
        <v>80</v>
      </c>
      <c r="B82" s="26"/>
      <c r="C82" s="26"/>
      <c r="D82" s="26"/>
      <c r="E82" s="26"/>
      <c r="F82" s="27">
        <v>39367965</v>
      </c>
      <c r="G82" s="79">
        <f t="shared" si="4"/>
        <v>0.21066085049278377</v>
      </c>
      <c r="H82" s="27">
        <v>27399039</v>
      </c>
      <c r="I82" s="79">
        <f t="shared" si="5"/>
        <v>0.22474608625414241</v>
      </c>
      <c r="J82" s="27">
        <v>22376101967</v>
      </c>
      <c r="K82" s="79">
        <f t="shared" si="6"/>
        <v>0.21207657684342379</v>
      </c>
      <c r="L82" s="27">
        <v>17604487770</v>
      </c>
      <c r="M82" s="79">
        <f t="shared" si="7"/>
        <v>0.18076939244724255</v>
      </c>
    </row>
    <row r="83" spans="1:13" ht="15.6" x14ac:dyDescent="0.3">
      <c r="A83" s="26" t="s">
        <v>81</v>
      </c>
      <c r="B83" s="26"/>
      <c r="C83" s="26"/>
      <c r="D83" s="26"/>
      <c r="E83" s="26"/>
      <c r="F83" s="27">
        <v>186878411</v>
      </c>
      <c r="G83" s="79">
        <f t="shared" si="4"/>
        <v>1</v>
      </c>
      <c r="H83" s="27">
        <v>121911084</v>
      </c>
      <c r="I83" s="79">
        <f t="shared" si="5"/>
        <v>1</v>
      </c>
      <c r="J83" s="27">
        <v>105509539526</v>
      </c>
      <c r="K83" s="79">
        <f t="shared" si="6"/>
        <v>1</v>
      </c>
      <c r="L83" s="27">
        <v>97386440988</v>
      </c>
      <c r="M83" s="79">
        <f t="shared" si="7"/>
        <v>1</v>
      </c>
    </row>
    <row r="109" spans="1:2" ht="14.4" customHeight="1" x14ac:dyDescent="0.3">
      <c r="A109" s="112" t="s">
        <v>88</v>
      </c>
      <c r="B109" s="112"/>
    </row>
    <row r="110" spans="1:2" ht="14.4" customHeight="1" x14ac:dyDescent="0.3">
      <c r="A110" s="112"/>
      <c r="B110" s="112"/>
    </row>
    <row r="111" spans="1:2" ht="14.4" customHeight="1" x14ac:dyDescent="0.35">
      <c r="A111" s="80" t="s">
        <v>113</v>
      </c>
      <c r="B111" s="77" t="s">
        <v>118</v>
      </c>
    </row>
    <row r="112" spans="1:2" ht="18" x14ac:dyDescent="0.35">
      <c r="A112" s="80" t="s">
        <v>113</v>
      </c>
      <c r="B112" s="77" t="s">
        <v>119</v>
      </c>
    </row>
    <row r="113" spans="1:2" ht="18" x14ac:dyDescent="0.35">
      <c r="A113" s="80" t="s">
        <v>113</v>
      </c>
      <c r="B113" s="77" t="s">
        <v>120</v>
      </c>
    </row>
    <row r="114" spans="1:2" ht="18" x14ac:dyDescent="0.35">
      <c r="A114" s="80" t="s">
        <v>113</v>
      </c>
      <c r="B114" s="77" t="s">
        <v>121</v>
      </c>
    </row>
  </sheetData>
  <mergeCells count="15">
    <mergeCell ref="A38:B39"/>
    <mergeCell ref="A109:B110"/>
    <mergeCell ref="L44:L46"/>
    <mergeCell ref="A1:E1"/>
    <mergeCell ref="F1:F3"/>
    <mergeCell ref="H1:H3"/>
    <mergeCell ref="J1:J3"/>
    <mergeCell ref="A2:E2"/>
    <mergeCell ref="A3:E3"/>
    <mergeCell ref="L1:L3"/>
    <mergeCell ref="A44:E44"/>
    <mergeCell ref="F44:F46"/>
    <mergeCell ref="H44:H46"/>
    <mergeCell ref="J44:J46"/>
    <mergeCell ref="A45:E4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B0D3-9817-4BCC-BA6D-3C319AED8C34}">
  <dimension ref="A1:H26"/>
  <sheetViews>
    <sheetView zoomScale="80" zoomScaleNormal="80" workbookViewId="0">
      <selection activeCell="J3" sqref="J3"/>
    </sheetView>
  </sheetViews>
  <sheetFormatPr defaultColWidth="18.21875" defaultRowHeight="29.4" customHeight="1" x14ac:dyDescent="0.3"/>
  <cols>
    <col min="1" max="1" width="18.21875" style="1"/>
    <col min="2" max="2" width="23" style="1" bestFit="1" customWidth="1"/>
    <col min="3" max="3" width="39.88671875" style="15" bestFit="1" customWidth="1"/>
    <col min="4" max="16384" width="18.21875" style="1"/>
  </cols>
  <sheetData>
    <row r="1" spans="1:8" ht="29.4" customHeight="1" thickBot="1" x14ac:dyDescent="0.35">
      <c r="A1" s="129" t="s">
        <v>8</v>
      </c>
      <c r="B1" s="129"/>
      <c r="C1" s="129"/>
      <c r="D1" s="129"/>
      <c r="E1" s="129"/>
      <c r="F1" s="129"/>
      <c r="G1" s="129"/>
      <c r="H1" s="129"/>
    </row>
    <row r="2" spans="1:8" ht="29.4" customHeight="1" x14ac:dyDescent="0.3">
      <c r="A2" s="11" t="s">
        <v>129</v>
      </c>
      <c r="B2" s="12" t="s">
        <v>9</v>
      </c>
      <c r="C2" s="13"/>
      <c r="D2" s="13">
        <v>2024</v>
      </c>
      <c r="E2" s="13">
        <v>2023</v>
      </c>
      <c r="F2" s="13">
        <v>2022</v>
      </c>
      <c r="G2" s="13">
        <v>2021</v>
      </c>
      <c r="H2" s="13" t="s">
        <v>10</v>
      </c>
    </row>
    <row r="3" spans="1:8" ht="29.4" customHeight="1" thickBot="1" x14ac:dyDescent="0.35">
      <c r="A3" s="130" t="s">
        <v>11</v>
      </c>
      <c r="B3" s="58" t="s">
        <v>12</v>
      </c>
      <c r="C3" s="59" t="s">
        <v>13</v>
      </c>
      <c r="D3" s="90">
        <v>1.25</v>
      </c>
      <c r="E3" s="90">
        <v>1.3</v>
      </c>
      <c r="F3" s="90">
        <v>1.28</v>
      </c>
      <c r="G3" s="90">
        <v>1.2</v>
      </c>
      <c r="H3" s="82" t="s">
        <v>122</v>
      </c>
    </row>
    <row r="4" spans="1:8" ht="29.4" customHeight="1" thickBot="1" x14ac:dyDescent="0.35">
      <c r="A4" s="131"/>
      <c r="B4" s="60" t="s">
        <v>14</v>
      </c>
      <c r="C4" s="61" t="s">
        <v>15</v>
      </c>
      <c r="D4" s="89">
        <v>0.95</v>
      </c>
      <c r="E4" s="89">
        <v>0.98</v>
      </c>
      <c r="F4" s="89">
        <v>0.96</v>
      </c>
      <c r="G4" s="89">
        <v>0.92</v>
      </c>
      <c r="H4" s="82" t="s">
        <v>128</v>
      </c>
    </row>
    <row r="5" spans="1:8" ht="6" customHeight="1" thickBot="1" x14ac:dyDescent="0.35">
      <c r="A5" s="14"/>
      <c r="B5" s="62"/>
      <c r="C5" s="62"/>
      <c r="D5" s="91"/>
      <c r="E5" s="91"/>
      <c r="F5" s="91"/>
      <c r="G5" s="91"/>
      <c r="H5" s="84"/>
    </row>
    <row r="6" spans="1:8" ht="29.4" customHeight="1" x14ac:dyDescent="0.3">
      <c r="A6" s="132" t="s">
        <v>16</v>
      </c>
      <c r="B6" s="63" t="s">
        <v>17</v>
      </c>
      <c r="C6" s="59" t="s">
        <v>18</v>
      </c>
      <c r="D6" s="90">
        <v>0.76</v>
      </c>
      <c r="E6" s="90">
        <v>0.4</v>
      </c>
      <c r="F6" s="90">
        <v>0.21</v>
      </c>
      <c r="G6" s="90">
        <v>0.34</v>
      </c>
      <c r="H6" s="81" t="s">
        <v>122</v>
      </c>
    </row>
    <row r="7" spans="1:8" ht="29.4" customHeight="1" x14ac:dyDescent="0.3">
      <c r="A7" s="133"/>
      <c r="B7" s="58" t="s">
        <v>19</v>
      </c>
      <c r="C7" s="69" t="s">
        <v>20</v>
      </c>
      <c r="D7" s="92">
        <v>474</v>
      </c>
      <c r="E7" s="90">
        <v>900</v>
      </c>
      <c r="F7" s="90">
        <v>1714</v>
      </c>
      <c r="G7" s="90">
        <v>1058</v>
      </c>
      <c r="H7" s="85" t="s">
        <v>122</v>
      </c>
    </row>
    <row r="8" spans="1:8" ht="29.4" customHeight="1" x14ac:dyDescent="0.3">
      <c r="A8" s="133"/>
      <c r="B8" s="58" t="s">
        <v>21</v>
      </c>
      <c r="C8" s="59" t="s">
        <v>22</v>
      </c>
      <c r="D8" s="95">
        <v>271.35887272460877</v>
      </c>
      <c r="E8" s="95">
        <v>347.42050069802764</v>
      </c>
      <c r="F8" s="95">
        <v>271.8537236878883</v>
      </c>
      <c r="G8" s="95">
        <v>223.5812455519704</v>
      </c>
      <c r="H8" s="81" t="s">
        <v>124</v>
      </c>
    </row>
    <row r="9" spans="1:8" ht="29.4" customHeight="1" x14ac:dyDescent="0.3">
      <c r="A9" s="133"/>
      <c r="B9" s="58" t="s">
        <v>23</v>
      </c>
      <c r="C9" s="59" t="s">
        <v>24</v>
      </c>
      <c r="D9" s="95">
        <v>161.81249586050427</v>
      </c>
      <c r="E9" s="95">
        <v>116.13991632176507</v>
      </c>
      <c r="F9" s="95">
        <v>94.908215770898266</v>
      </c>
      <c r="G9" s="95">
        <v>62.101696417970913</v>
      </c>
      <c r="H9" s="85" t="s">
        <v>122</v>
      </c>
    </row>
    <row r="10" spans="1:8" ht="29.4" customHeight="1" thickBot="1" x14ac:dyDescent="0.35">
      <c r="A10" s="131"/>
      <c r="B10" s="60" t="s">
        <v>25</v>
      </c>
      <c r="C10" s="61" t="s">
        <v>26</v>
      </c>
      <c r="D10" s="89">
        <v>0.1661125776925044</v>
      </c>
      <c r="E10" s="89">
        <v>0.13595496685733321</v>
      </c>
      <c r="F10" s="89">
        <v>0.18912316479334249</v>
      </c>
      <c r="G10" s="89">
        <v>0.274760117394239</v>
      </c>
      <c r="H10" s="86" t="s">
        <v>122</v>
      </c>
    </row>
    <row r="11" spans="1:8" ht="7.2" customHeight="1" thickBot="1" x14ac:dyDescent="0.35">
      <c r="A11" s="14"/>
      <c r="B11" s="62"/>
      <c r="C11" s="62"/>
      <c r="D11" s="91"/>
      <c r="E11" s="91"/>
      <c r="F11" s="91"/>
      <c r="G11" s="91"/>
      <c r="H11" s="84"/>
    </row>
    <row r="12" spans="1:8" ht="29.4" customHeight="1" x14ac:dyDescent="0.3">
      <c r="A12" s="132" t="s">
        <v>27</v>
      </c>
      <c r="B12" s="64" t="s">
        <v>28</v>
      </c>
      <c r="C12" s="65" t="s">
        <v>29</v>
      </c>
      <c r="D12" s="90">
        <v>0.79</v>
      </c>
      <c r="E12" s="90">
        <v>0.78</v>
      </c>
      <c r="F12" s="90">
        <v>0.79</v>
      </c>
      <c r="G12" s="90">
        <v>0.82</v>
      </c>
      <c r="H12" s="81" t="s">
        <v>124</v>
      </c>
    </row>
    <row r="13" spans="1:8" ht="29.4" customHeight="1" thickBot="1" x14ac:dyDescent="0.35">
      <c r="A13" s="131"/>
      <c r="B13" s="58" t="s">
        <v>30</v>
      </c>
      <c r="C13" s="59" t="s">
        <v>31</v>
      </c>
      <c r="D13" s="89">
        <v>4.1399999999999997</v>
      </c>
      <c r="E13" s="89">
        <v>6.14</v>
      </c>
      <c r="F13" s="89">
        <v>4.45</v>
      </c>
      <c r="G13" s="89">
        <v>4.2699999999999996</v>
      </c>
      <c r="H13" s="81" t="s">
        <v>123</v>
      </c>
    </row>
    <row r="14" spans="1:8" ht="6.6" customHeight="1" thickBot="1" x14ac:dyDescent="0.35">
      <c r="A14" s="14"/>
      <c r="B14" s="62"/>
      <c r="C14" s="62"/>
      <c r="D14" s="91"/>
      <c r="E14" s="91"/>
      <c r="F14" s="91"/>
      <c r="G14" s="91"/>
      <c r="H14" s="84"/>
    </row>
    <row r="15" spans="1:8" ht="29.4" customHeight="1" x14ac:dyDescent="0.3">
      <c r="A15" s="132" t="s">
        <v>32</v>
      </c>
      <c r="B15" s="64" t="s">
        <v>33</v>
      </c>
      <c r="C15" s="65" t="s">
        <v>34</v>
      </c>
      <c r="D15" s="93">
        <v>0.33</v>
      </c>
      <c r="E15" s="93">
        <v>0.34100000000000003</v>
      </c>
      <c r="F15" s="93">
        <v>0.38700000000000001</v>
      </c>
      <c r="G15" s="93">
        <v>0.374</v>
      </c>
      <c r="H15" s="81" t="s">
        <v>124</v>
      </c>
    </row>
    <row r="16" spans="1:8" ht="29.4" customHeight="1" x14ac:dyDescent="0.3">
      <c r="A16" s="133"/>
      <c r="B16" s="66" t="s">
        <v>35</v>
      </c>
      <c r="C16" s="67" t="s">
        <v>36</v>
      </c>
      <c r="D16" s="94">
        <v>0.125</v>
      </c>
      <c r="E16" s="94">
        <v>0.13300000000000001</v>
      </c>
      <c r="F16" s="94">
        <v>0.19600000000000001</v>
      </c>
      <c r="G16" s="94">
        <v>0.21099999999999999</v>
      </c>
      <c r="H16" s="85" t="s">
        <v>124</v>
      </c>
    </row>
    <row r="17" spans="1:8" ht="29.4" customHeight="1" x14ac:dyDescent="0.3">
      <c r="A17" s="133"/>
      <c r="B17" s="66" t="s">
        <v>37</v>
      </c>
      <c r="C17" s="67" t="s">
        <v>38</v>
      </c>
      <c r="D17" s="94">
        <v>9.2999999999999999E-2</v>
      </c>
      <c r="E17" s="94">
        <v>0.107</v>
      </c>
      <c r="F17" s="94">
        <v>0.155</v>
      </c>
      <c r="G17" s="94">
        <v>0.14599999999999999</v>
      </c>
      <c r="H17" s="85" t="s">
        <v>124</v>
      </c>
    </row>
    <row r="18" spans="1:8" ht="29.4" customHeight="1" x14ac:dyDescent="0.3">
      <c r="A18" s="133"/>
      <c r="B18" s="58" t="s">
        <v>39</v>
      </c>
      <c r="C18" s="67" t="s">
        <v>40</v>
      </c>
      <c r="D18" s="96">
        <v>7.0000000000000001E-3</v>
      </c>
      <c r="E18" s="96">
        <v>7.0000000000000001E-3</v>
      </c>
      <c r="F18" s="96">
        <v>7.0000000000000001E-3</v>
      </c>
      <c r="G18" s="96">
        <v>8.9999999999999993E-3</v>
      </c>
      <c r="H18" s="81" t="s">
        <v>122</v>
      </c>
    </row>
    <row r="19" spans="1:8" ht="29.4" customHeight="1" thickBot="1" x14ac:dyDescent="0.35">
      <c r="A19" s="131"/>
      <c r="B19" s="58" t="s">
        <v>41</v>
      </c>
      <c r="C19" s="67" t="s">
        <v>42</v>
      </c>
      <c r="D19" s="96">
        <v>3.7999999999999999E-2</v>
      </c>
      <c r="E19" s="96">
        <v>3.6999999999999998E-2</v>
      </c>
      <c r="F19" s="96">
        <v>3.7999999999999999E-2</v>
      </c>
      <c r="G19" s="96">
        <v>6.2E-2</v>
      </c>
      <c r="H19" s="81" t="s">
        <v>124</v>
      </c>
    </row>
    <row r="20" spans="1:8" ht="7.2" customHeight="1" x14ac:dyDescent="0.3">
      <c r="A20" s="14"/>
      <c r="B20" s="68"/>
      <c r="C20" s="62"/>
      <c r="D20" s="83"/>
      <c r="E20" s="83"/>
      <c r="F20" s="83"/>
      <c r="G20" s="83"/>
      <c r="H20" s="84"/>
    </row>
    <row r="22" spans="1:8" ht="29.4" customHeight="1" x14ac:dyDescent="0.3">
      <c r="A22" s="97" t="s">
        <v>88</v>
      </c>
    </row>
    <row r="23" spans="1:8" ht="29.4" customHeight="1" x14ac:dyDescent="0.4">
      <c r="A23" s="98" t="s">
        <v>130</v>
      </c>
    </row>
    <row r="24" spans="1:8" ht="29.4" customHeight="1" x14ac:dyDescent="0.4">
      <c r="A24" s="98" t="s">
        <v>131</v>
      </c>
    </row>
    <row r="25" spans="1:8" ht="29.4" customHeight="1" x14ac:dyDescent="0.4">
      <c r="A25" s="98" t="s">
        <v>132</v>
      </c>
    </row>
    <row r="26" spans="1:8" ht="29.4" customHeight="1" x14ac:dyDescent="0.4">
      <c r="A26" s="98" t="s">
        <v>133</v>
      </c>
    </row>
  </sheetData>
  <mergeCells count="5">
    <mergeCell ref="A1:H1"/>
    <mergeCell ref="A3:A4"/>
    <mergeCell ref="A6:A10"/>
    <mergeCell ref="A12:A13"/>
    <mergeCell ref="A15:A19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Financial statement</vt:lpstr>
      <vt:lpstr>Source &amp; uses analysis </vt:lpstr>
      <vt:lpstr>Common size analysis</vt:lpstr>
      <vt:lpstr>Ratios</vt:lpstr>
      <vt:lpstr>'Source &amp; uses analysis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Tarek</dc:creator>
  <cp:lastModifiedBy>Hasan Solyman</cp:lastModifiedBy>
  <cp:lastPrinted>2025-08-04T14:19:40Z</cp:lastPrinted>
  <dcterms:created xsi:type="dcterms:W3CDTF">2015-06-05T18:17:20Z</dcterms:created>
  <dcterms:modified xsi:type="dcterms:W3CDTF">2026-10-12T09:51:23Z</dcterms:modified>
</cp:coreProperties>
</file>