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دليل إدارة المخاطر للمهندس" sheetId="1" state="visible" r:id="rId1"/>
    <sheet xmlns:r="http://schemas.openxmlformats.org/officeDocument/2006/relationships" name="Risk Brainstorming" sheetId="2" state="visible" r:id="rId2"/>
    <sheet xmlns:r="http://schemas.openxmlformats.org/officeDocument/2006/relationships" name="Risk Assesment(Payment&amp;Privity)" sheetId="3" state="visible" r:id="rId3"/>
    <sheet xmlns:r="http://schemas.openxmlformats.org/officeDocument/2006/relationships" name="Weibull(Payment &amp; Privity)" sheetId="4" state="visible" r:id="rId4"/>
    <sheet xmlns:r="http://schemas.openxmlformats.org/officeDocument/2006/relationships" name="Risk Assesment(Cost Inflation)" sheetId="5" state="visible" r:id="rId5"/>
    <sheet xmlns:r="http://schemas.openxmlformats.org/officeDocument/2006/relationships" name="Weibull(Cost Inflation)" sheetId="6" state="visible" r:id="rId6"/>
    <sheet xmlns:r="http://schemas.openxmlformats.org/officeDocument/2006/relationships" name="Risk Assesment(Water &amp; Lagoon)" sheetId="7" state="visible" r:id="rId7"/>
    <sheet xmlns:r="http://schemas.openxmlformats.org/officeDocument/2006/relationships" name="Weibull(Water &amp; Lagoon)" sheetId="8" state="visible" r:id="rId8"/>
    <sheet xmlns:r="http://schemas.openxmlformats.org/officeDocument/2006/relationships" name="Risk Assesment(Labor &amp; Strife)" sheetId="9" state="visible" r:id="rId9"/>
    <sheet xmlns:r="http://schemas.openxmlformats.org/officeDocument/2006/relationships" name="Weibull(Labor &amp; Strife)" sheetId="10" state="visible" r:id="rId10"/>
    <sheet xmlns:r="http://schemas.openxmlformats.org/officeDocument/2006/relationships" name="Risk score" sheetId="11" state="visible" r:id="rId11"/>
    <sheet xmlns:r="http://schemas.openxmlformats.org/officeDocument/2006/relationships" name="Financial statement" sheetId="12" state="visible" r:id="rId12"/>
    <sheet xmlns:r="http://schemas.openxmlformats.org/officeDocument/2006/relationships" name="Source &amp; uses analysis" sheetId="13" state="visible" r:id="rId13"/>
    <sheet xmlns:r="http://schemas.openxmlformats.org/officeDocument/2006/relationships" name="Common size analysis" sheetId="14" state="visible" r:id="rId14"/>
    <sheet xmlns:r="http://schemas.openxmlformats.org/officeDocument/2006/relationships" name="Ratios &amp; CFO Scorecard" sheetId="15" state="visible" r:id="rId15"/>
  </sheets>
  <definedNames/>
  <calcPr calcId="124519" fullCalcOnLoad="1"/>
</workbook>
</file>

<file path=xl/styles.xml><?xml version="1.0" encoding="utf-8"?>
<styleSheet xmlns="http://schemas.openxmlformats.org/spreadsheetml/2006/main">
  <numFmts count="3">
    <numFmt numFmtId="164" formatCode="0.0000"/>
    <numFmt numFmtId="165" formatCode="0.000000"/>
    <numFmt numFmtId="166" formatCode="0.0%"/>
  </numFmts>
  <fonts count="30">
    <font>
      <name val="Calibri"/>
      <family val="2"/>
      <color theme="1"/>
      <sz val="11"/>
      <scheme val="minor"/>
    </font>
    <font>
      <name val="Segoe UI"/>
      <b val="1"/>
      <color rgb="001E293B"/>
      <sz val="13"/>
    </font>
    <font>
      <name val="Segoe UI"/>
      <b val="1"/>
      <color rgb="00FFFFFF"/>
      <sz val="10"/>
    </font>
    <font>
      <name val="Segoe UI"/>
      <color rgb="001E293B"/>
      <sz val="10"/>
    </font>
    <font>
      <name val="Segoe UI"/>
      <b val="1"/>
      <color rgb="000F172A"/>
      <sz val="10"/>
    </font>
    <font>
      <name val="Consolas"/>
      <color rgb="000284C7"/>
      <sz val="9.5"/>
    </font>
    <font>
      <name val="Segoe UI"/>
      <i val="1"/>
      <color rgb="0064748B"/>
      <sz val="9"/>
    </font>
    <font>
      <name val="Segoe UI"/>
      <b val="1"/>
      <color rgb="00DC2626"/>
      <sz val="10"/>
    </font>
    <font>
      <name val="Segoe UI"/>
      <i val="1"/>
      <color rgb="00475569"/>
      <sz val="9.5"/>
    </font>
    <font>
      <name val="Cairo"/>
      <b val="1"/>
      <color rgb="001E3A8A"/>
      <sz val="14"/>
    </font>
    <font>
      <name val="Cairo"/>
      <b val="1"/>
      <color rgb="000284C7"/>
      <sz val="11.5"/>
    </font>
    <font>
      <name val="Cairo"/>
      <color rgb="001E293B"/>
      <sz val="10"/>
    </font>
    <font>
      <name val="Cairo"/>
      <b val="1"/>
      <color rgb="00D97706"/>
      <sz val="10"/>
    </font>
    <font>
      <name val="Cairo"/>
      <b val="1"/>
      <color rgb="00DC2626"/>
      <sz val="11"/>
    </font>
    <font>
      <name val="Cairo"/>
      <b val="1"/>
      <color rgb="0016A34A"/>
      <sz val="11"/>
    </font>
    <font>
      <name val="Cairo"/>
      <b val="1"/>
      <color rgb="001E3A8A"/>
      <sz val="13.5"/>
    </font>
    <font>
      <name val="Cairo"/>
      <b val="1"/>
      <color rgb="000284C7"/>
      <sz val="11"/>
    </font>
    <font>
      <name val="Cairo"/>
      <color rgb="001E293B"/>
      <sz val="9.5"/>
    </font>
    <font>
      <name val="Cairo"/>
      <b val="1"/>
      <color rgb="00D97706"/>
      <sz val="10.5"/>
    </font>
    <font>
      <name val="Cairo"/>
      <b val="1"/>
      <color rgb="00DC2626"/>
      <sz val="10.5"/>
    </font>
    <font>
      <name val="Cairo"/>
      <b val="1"/>
      <color rgb="0016A34A"/>
      <sz val="10.5"/>
    </font>
    <font>
      <name val="Calibri"/>
      <b val="1"/>
      <color rgb="00FFFFFF"/>
      <sz val="14"/>
    </font>
    <font>
      <name val="Calibri"/>
      <i val="1"/>
      <color rgb="00E0E7FF"/>
      <sz val="10"/>
    </font>
    <font>
      <name val="Calibri"/>
      <b val="1"/>
      <color rgb="00FFFFFF"/>
      <sz val="10"/>
    </font>
    <font>
      <name val="Calibri"/>
      <b val="1"/>
      <color rgb="000F172A"/>
      <sz val="10"/>
    </font>
    <font>
      <name val="Calibri"/>
      <color rgb="001E293B"/>
      <sz val="10"/>
    </font>
    <font>
      <name val="Calibri"/>
      <b val="1"/>
      <color rgb="001E3A8A"/>
      <sz val="10"/>
    </font>
    <font>
      <name val="Calibri"/>
      <b val="1"/>
      <color rgb="001E3A8A"/>
      <sz val="11"/>
    </font>
    <font>
      <name val="Calibri"/>
      <b val="1"/>
      <color rgb="00047857"/>
      <sz val="10"/>
    </font>
    <font>
      <name val="Calibri"/>
      <b val="1"/>
      <color rgb="00B91C1C"/>
      <sz val="10"/>
    </font>
  </fonts>
  <fills count="19">
    <fill>
      <patternFill/>
    </fill>
    <fill>
      <patternFill patternType="gray125"/>
    </fill>
    <fill>
      <patternFill patternType="solid">
        <fgColor rgb="001E3A8A"/>
        <bgColor rgb="001E3A8A"/>
      </patternFill>
    </fill>
    <fill>
      <patternFill patternType="solid">
        <fgColor rgb="00F1F5F9"/>
        <bgColor rgb="00F1F5F9"/>
      </patternFill>
    </fill>
    <fill>
      <patternFill patternType="solid">
        <fgColor rgb="000284C7"/>
        <bgColor rgb="000284C7"/>
      </patternFill>
    </fill>
    <fill>
      <patternFill patternType="solid">
        <fgColor rgb="000F172A"/>
        <bgColor rgb="000F172A"/>
      </patternFill>
    </fill>
    <fill>
      <patternFill patternType="solid">
        <fgColor rgb="00F8FAFC"/>
        <bgColor rgb="00F8FAFC"/>
      </patternFill>
    </fill>
    <fill>
      <patternFill patternType="solid">
        <fgColor rgb="00E0F2FE"/>
        <bgColor rgb="00E0F2FE"/>
      </patternFill>
    </fill>
    <fill>
      <patternFill patternType="solid">
        <fgColor rgb="00F0F9FF"/>
        <bgColor rgb="00F0F9FF"/>
      </patternFill>
    </fill>
    <fill>
      <patternFill patternType="solid">
        <fgColor rgb="00FFFBEB"/>
        <bgColor rgb="00FFFBEB"/>
      </patternFill>
    </fill>
    <fill>
      <patternFill patternType="solid">
        <fgColor rgb="00FFF1F2"/>
        <bgColor rgb="00FFF1F2"/>
      </patternFill>
    </fill>
    <fill>
      <patternFill patternType="solid">
        <fgColor rgb="00F0FDF4"/>
        <bgColor rgb="00F0FDF4"/>
      </patternFill>
    </fill>
    <fill>
      <patternFill patternType="solid">
        <fgColor rgb="00FEF2F2"/>
        <bgColor rgb="00FEF2F2"/>
      </patternFill>
    </fill>
    <fill>
      <patternFill patternType="solid">
        <fgColor rgb="001E40AF"/>
      </patternFill>
    </fill>
    <fill>
      <patternFill patternType="solid">
        <fgColor rgb="001E293B"/>
      </patternFill>
    </fill>
    <fill>
      <patternFill patternType="solid">
        <fgColor rgb="00F1F5F9"/>
      </patternFill>
    </fill>
    <fill>
      <patternFill patternType="solid">
        <fgColor rgb="00E2E8F0"/>
      </patternFill>
    </fill>
    <fill>
      <patternFill patternType="solid">
        <fgColor rgb="00D1FAE5"/>
      </patternFill>
    </fill>
    <fill>
      <patternFill patternType="solid">
        <fgColor rgb="00FFE4E6"/>
      </patternFill>
    </fill>
  </fills>
  <borders count="23">
    <border>
      <left/>
      <right/>
      <top/>
      <bottom/>
      <diagonal/>
    </border>
    <border>
      <left style="thin">
        <color rgb="00CBD5E1"/>
      </left>
      <right style="thin">
        <color rgb="00CBD5E1"/>
      </right>
      <top style="thin">
        <color rgb="00CBD5E1"/>
      </top>
      <bottom style="thin">
        <color rgb="00CBD5E1"/>
      </bottom>
    </border>
    <border>
      <left style="thin">
        <color rgb="00CBD5E1"/>
      </left>
      <right/>
      <top/>
      <bottom/>
      <diagonal/>
    </border>
    <border>
      <left style="thin">
        <color rgb="00CBD5E1"/>
      </left>
      <right style="thin">
        <color rgb="00CBD5E1"/>
      </right>
      <top/>
      <bottom/>
      <diagonal/>
    </border>
    <border>
      <left style="thin">
        <color rgb="00CBD5E1"/>
      </left>
      <right style="thin">
        <color rgb="00CBD5E1"/>
      </right>
      <top/>
      <bottom style="thin">
        <color rgb="00CBD5E1"/>
      </bottom>
      <diagonal/>
    </border>
    <border>
      <left style="medium">
        <color rgb="00D97706"/>
      </left>
      <right style="thin">
        <color rgb="00CBD5E1"/>
      </right>
      <top style="thin">
        <color rgb="00CBD5E1"/>
      </top>
      <bottom style="thin">
        <color rgb="00CBD5E1"/>
      </bottom>
    </border>
    <border>
      <left style="medium">
        <color rgb="000284C7"/>
      </left>
      <right style="thin">
        <color rgb="00CBD5E1"/>
      </right>
      <top style="thin">
        <color rgb="00CBD5E1"/>
      </top>
      <bottom style="thin">
        <color rgb="00CBD5E1"/>
      </bottom>
    </border>
    <border>
      <left style="medium">
        <color rgb="0016A34A"/>
      </left>
      <right style="thin">
        <color rgb="00CBD5E1"/>
      </right>
      <top style="thin">
        <color rgb="00CBD5E1"/>
      </top>
      <bottom style="thin">
        <color rgb="00CBD5E1"/>
      </bottom>
    </border>
    <border>
      <left/>
      <right/>
      <top style="thin">
        <color rgb="00CBD5E1"/>
      </top>
      <bottom/>
      <diagonal/>
    </border>
    <border>
      <left/>
      <right style="thin">
        <color rgb="00CBD5E1"/>
      </right>
      <top style="thin">
        <color rgb="00CBD5E1"/>
      </top>
      <bottom/>
      <diagonal/>
    </border>
    <border>
      <left/>
      <right/>
      <top style="thin">
        <color rgb="00CBD5E1"/>
      </top>
      <bottom style="thin">
        <color rgb="00CBD5E1"/>
      </bottom>
      <diagonal/>
    </border>
    <border>
      <left/>
      <right style="thin">
        <color rgb="00CBD5E1"/>
      </right>
      <top style="thin">
        <color rgb="00CBD5E1"/>
      </top>
      <bottom style="thin">
        <color rgb="00CBD5E1"/>
      </bottom>
      <diagonal/>
    </border>
    <border>
      <left style="medium">
        <color rgb="00D97706"/>
      </left>
      <right/>
      <top/>
      <bottom/>
      <diagonal/>
    </border>
    <border>
      <left/>
      <right style="thin">
        <color rgb="00CBD5E1"/>
      </right>
      <top/>
      <bottom/>
      <diagonal/>
    </border>
    <border>
      <left style="medium">
        <color rgb="00D97706"/>
      </left>
      <right/>
      <top/>
      <bottom style="thin">
        <color rgb="00CBD5E1"/>
      </bottom>
      <diagonal/>
    </border>
    <border>
      <left/>
      <right/>
      <top/>
      <bottom style="thin">
        <color rgb="00CBD5E1"/>
      </bottom>
      <diagonal/>
    </border>
    <border>
      <left/>
      <right style="thin">
        <color rgb="00CBD5E1"/>
      </right>
      <top/>
      <bottom style="thin">
        <color rgb="00CBD5E1"/>
      </bottom>
      <diagonal/>
    </border>
    <border>
      <left style="medium">
        <color rgb="000284C7"/>
      </left>
      <right/>
      <top/>
      <bottom/>
      <diagonal/>
    </border>
    <border>
      <left style="medium">
        <color rgb="000284C7"/>
      </left>
      <right/>
      <top/>
      <bottom style="thin">
        <color rgb="00CBD5E1"/>
      </bottom>
      <diagonal/>
    </border>
    <border>
      <left style="medium">
        <color rgb="0016A34A"/>
      </left>
      <right/>
      <top/>
      <bottom/>
      <diagonal/>
    </border>
    <border>
      <left style="medium">
        <color rgb="0016A34A"/>
      </left>
      <right/>
      <top/>
      <bottom style="thin">
        <color rgb="00CBD5E1"/>
      </bottom>
      <diagonal/>
    </border>
    <border>
      <left style="medium">
        <color rgb="00DC2626"/>
      </left>
      <right style="thin">
        <color rgb="00CBD5E1"/>
      </right>
      <top style="thin">
        <color rgb="00CBD5E1"/>
      </top>
      <bottom style="thin">
        <color rgb="00CBD5E1"/>
      </bottom>
    </border>
    <border>
      <left style="thin">
        <color rgb="00CBD5E1"/>
      </left>
      <right style="thin">
        <color rgb="00CBD5E1"/>
      </right>
      <top style="thin">
        <color rgb="00475569"/>
      </top>
      <bottom style="double">
        <color rgb="001E293B"/>
      </bottom>
    </border>
  </borders>
  <cellStyleXfs count="1">
    <xf numFmtId="0" fontId="0" fillId="0" borderId="0"/>
  </cellStyleXfs>
  <cellXfs count="112">
    <xf numFmtId="0" fontId="0" fillId="0" borderId="0" pivotButton="0" quotePrefix="0" xfId="0"/>
    <xf numFmtId="0" fontId="1" fillId="0" borderId="0" applyAlignment="1" pivotButton="0" quotePrefix="0" xfId="0">
      <alignment horizontal="center" vertical="center" wrapText="1"/>
    </xf>
    <xf numFmtId="0" fontId="2" fillId="2" borderId="1" applyAlignment="1" pivotButton="0" quotePrefix="0" xfId="0">
      <alignment horizontal="center" vertical="center" wrapText="1"/>
    </xf>
    <xf numFmtId="0" fontId="3" fillId="0" borderId="1" applyAlignment="1" pivotButton="0" quotePrefix="0" xfId="0">
      <alignment horizontal="center" vertical="center" wrapText="1"/>
    </xf>
    <xf numFmtId="0" fontId="3" fillId="0" borderId="1" applyAlignment="1" pivotButton="0" quotePrefix="0" xfId="0">
      <alignment horizontal="left" vertical="center" wrapText="1"/>
    </xf>
    <xf numFmtId="0" fontId="3" fillId="3" borderId="1" applyAlignment="1" pivotButton="0" quotePrefix="0" xfId="0">
      <alignment horizontal="center" vertical="center" wrapText="1"/>
    </xf>
    <xf numFmtId="0" fontId="3" fillId="3" borderId="1" applyAlignment="1" pivotButton="0" quotePrefix="0" xfId="0">
      <alignment horizontal="left" vertical="center" wrapText="1"/>
    </xf>
    <xf numFmtId="0" fontId="2" fillId="4" borderId="0" applyAlignment="1" pivotButton="0" quotePrefix="0" xfId="0">
      <alignment horizontal="center" vertical="center" wrapText="1"/>
    </xf>
    <xf numFmtId="0" fontId="2" fillId="5" borderId="1" applyAlignment="1" pivotButton="0" quotePrefix="0" xfId="0">
      <alignment horizontal="center" vertical="center" wrapText="1"/>
    </xf>
    <xf numFmtId="0" fontId="0" fillId="0" borderId="1" applyAlignment="1" pivotButton="0" quotePrefix="0" xfId="0">
      <alignment horizontal="center" vertical="center" wrapText="1"/>
    </xf>
    <xf numFmtId="0" fontId="0" fillId="0" borderId="1" applyAlignment="1" pivotButton="0" quotePrefix="0" xfId="0">
      <alignment horizontal="left" vertical="center" wrapText="1"/>
    </xf>
    <xf numFmtId="0" fontId="0" fillId="0" borderId="1" pivotButton="0" quotePrefix="0" xfId="0"/>
    <xf numFmtId="0" fontId="4" fillId="0" borderId="1" applyAlignment="1" pivotButton="0" quotePrefix="0" xfId="0">
      <alignment horizontal="center" vertical="center" wrapText="1"/>
    </xf>
    <xf numFmtId="164" fontId="5" fillId="0" borderId="1" applyAlignment="1" pivotButton="0" quotePrefix="0" xfId="0">
      <alignment horizontal="center" vertical="center" wrapText="1"/>
    </xf>
    <xf numFmtId="0" fontId="0" fillId="0" borderId="3" pivotButton="0" quotePrefix="0" xfId="0"/>
    <xf numFmtId="0" fontId="0" fillId="0" borderId="4" pivotButton="0" quotePrefix="0" xfId="0"/>
    <xf numFmtId="0" fontId="0" fillId="6" borderId="1" applyAlignment="1" pivotButton="0" quotePrefix="0" xfId="0">
      <alignment horizontal="center" vertical="center" wrapText="1"/>
    </xf>
    <xf numFmtId="0" fontId="0" fillId="6" borderId="1" pivotButton="0" quotePrefix="0" xfId="0"/>
    <xf numFmtId="0" fontId="4" fillId="6" borderId="1" applyAlignment="1" pivotButton="0" quotePrefix="0" xfId="0">
      <alignment horizontal="center" vertical="center" wrapText="1"/>
    </xf>
    <xf numFmtId="164" fontId="5" fillId="6" borderId="1" applyAlignment="1" pivotButton="0" quotePrefix="0" xfId="0">
      <alignment horizontal="center" vertical="center" wrapText="1"/>
    </xf>
    <xf numFmtId="0" fontId="4" fillId="0" borderId="0" applyAlignment="1" pivotButton="0" quotePrefix="0" xfId="0">
      <alignment horizontal="right" vertical="center"/>
    </xf>
    <xf numFmtId="0" fontId="4" fillId="7" borderId="1" applyAlignment="1" pivotButton="0" quotePrefix="0" xfId="0">
      <alignment horizontal="center" vertical="center" wrapText="1"/>
    </xf>
    <xf numFmtId="164" fontId="4" fillId="7" borderId="1" applyAlignment="1" pivotButton="0" quotePrefix="0" xfId="0">
      <alignment horizontal="center" vertical="center" wrapText="1"/>
    </xf>
    <xf numFmtId="0" fontId="1" fillId="0" borderId="0" pivotButton="0" quotePrefix="0" xfId="0"/>
    <xf numFmtId="0" fontId="4" fillId="0" borderId="0" applyAlignment="1" pivotButton="0" quotePrefix="0" xfId="0">
      <alignment horizontal="center" vertical="center" wrapText="1"/>
    </xf>
    <xf numFmtId="0" fontId="4" fillId="0" borderId="1" pivotButton="0" quotePrefix="0" xfId="0"/>
    <xf numFmtId="164" fontId="4" fillId="7" borderId="1" pivotButton="0" quotePrefix="0" xfId="0"/>
    <xf numFmtId="165" fontId="4" fillId="7" borderId="1" pivotButton="0" quotePrefix="0" xfId="0"/>
    <xf numFmtId="2" fontId="4" fillId="7" borderId="1" pivotButton="0" quotePrefix="0" xfId="0"/>
    <xf numFmtId="0" fontId="3" fillId="6" borderId="1" applyAlignment="1" pivotButton="0" quotePrefix="0" xfId="0">
      <alignment horizontal="center" vertical="center" wrapText="1"/>
    </xf>
    <xf numFmtId="0" fontId="6" fillId="0" borderId="0" pivotButton="0" quotePrefix="0" xfId="0"/>
    <xf numFmtId="0" fontId="4" fillId="0" borderId="0" pivotButton="0" quotePrefix="0" xfId="0"/>
    <xf numFmtId="2" fontId="4" fillId="0" borderId="1" pivotButton="0" quotePrefix="0" xfId="0"/>
    <xf numFmtId="0" fontId="3" fillId="0" borderId="0" pivotButton="0" quotePrefix="0" xfId="0"/>
    <xf numFmtId="2" fontId="3" fillId="0" borderId="1" pivotButton="0" quotePrefix="0" xfId="0"/>
    <xf numFmtId="0" fontId="7" fillId="0" borderId="0" pivotButton="0" quotePrefix="0" xfId="0"/>
    <xf numFmtId="2" fontId="7" fillId="0" borderId="1" pivotButton="0" quotePrefix="0" xfId="0"/>
    <xf numFmtId="0" fontId="4" fillId="0" borderId="1" applyAlignment="1" pivotButton="0" quotePrefix="0" xfId="0">
      <alignment horizontal="left" vertical="center" wrapText="1"/>
    </xf>
    <xf numFmtId="165" fontId="5" fillId="0" borderId="1" applyAlignment="1" pivotButton="0" quotePrefix="0" xfId="0">
      <alignment horizontal="center" vertical="center" wrapText="1"/>
    </xf>
    <xf numFmtId="165" fontId="4" fillId="7" borderId="1" applyAlignment="1" pivotButton="0" quotePrefix="0" xfId="0">
      <alignment horizontal="center" vertical="center" wrapText="1"/>
    </xf>
    <xf numFmtId="0" fontId="4" fillId="0" borderId="0" applyAlignment="1" pivotButton="0" quotePrefix="0" xfId="0">
      <alignment horizontal="left" vertical="center" wrapText="1"/>
    </xf>
    <xf numFmtId="0" fontId="8" fillId="0" borderId="0" pivotButton="0" quotePrefix="0" xfId="0"/>
    <xf numFmtId="0" fontId="9" fillId="7" borderId="0" applyAlignment="1" pivotButton="0" quotePrefix="0" xfId="0">
      <alignment horizontal="center" vertical="center" wrapText="1"/>
    </xf>
    <xf numFmtId="0" fontId="10" fillId="8" borderId="1" applyAlignment="1" pivotButton="0" quotePrefix="0" xfId="0">
      <alignment horizontal="right" vertical="center" wrapText="1"/>
    </xf>
    <xf numFmtId="0" fontId="11" fillId="8" borderId="1" applyAlignment="1" pivotButton="0" quotePrefix="0" xfId="0">
      <alignment horizontal="right" vertical="center" wrapText="1"/>
    </xf>
    <xf numFmtId="0" fontId="12" fillId="9" borderId="1" applyAlignment="1" pivotButton="0" quotePrefix="0" xfId="0">
      <alignment horizontal="right" vertical="center" wrapText="1"/>
    </xf>
    <xf numFmtId="0" fontId="11" fillId="9" borderId="1" applyAlignment="1" pivotButton="0" quotePrefix="0" xfId="0">
      <alignment horizontal="right" vertical="center" wrapText="1"/>
    </xf>
    <xf numFmtId="0" fontId="13" fillId="10" borderId="1" applyAlignment="1" pivotButton="0" quotePrefix="0" xfId="0">
      <alignment horizontal="right" vertical="center" wrapText="1"/>
    </xf>
    <xf numFmtId="0" fontId="11" fillId="10" borderId="1" applyAlignment="1" pivotButton="0" quotePrefix="0" xfId="0">
      <alignment horizontal="right" vertical="center" wrapText="1"/>
    </xf>
    <xf numFmtId="0" fontId="14" fillId="11" borderId="1" applyAlignment="1" pivotButton="0" quotePrefix="0" xfId="0">
      <alignment horizontal="right" vertical="center" wrapText="1"/>
    </xf>
    <xf numFmtId="0" fontId="11" fillId="11" borderId="1" applyAlignment="1" pivotButton="0" quotePrefix="0" xfId="0">
      <alignment horizontal="right" vertical="center" wrapText="1"/>
    </xf>
    <xf numFmtId="0" fontId="9" fillId="0" borderId="0" pivotButton="0" quotePrefix="0" xfId="0"/>
    <xf numFmtId="0" fontId="11" fillId="9" borderId="5" applyAlignment="1" pivotButton="0" quotePrefix="0" xfId="0">
      <alignment horizontal="right" vertical="center" wrapText="1"/>
    </xf>
    <xf numFmtId="0" fontId="10" fillId="0" borderId="0" pivotButton="0" quotePrefix="0" xfId="0"/>
    <xf numFmtId="0" fontId="11" fillId="8" borderId="6" applyAlignment="1" pivotButton="0" quotePrefix="0" xfId="0">
      <alignment horizontal="right" vertical="center" wrapText="1"/>
    </xf>
    <xf numFmtId="0" fontId="11" fillId="11" borderId="7" applyAlignment="1" pivotButton="0" quotePrefix="0" xfId="0">
      <alignment horizontal="right" vertical="center" wrapText="1"/>
    </xf>
    <xf numFmtId="0" fontId="0" fillId="0" borderId="10" pivotButton="0" quotePrefix="0" xfId="0"/>
    <xf numFmtId="0" fontId="0" fillId="0" borderId="11" pivotButton="0" quotePrefix="0" xfId="0"/>
    <xf numFmtId="0" fontId="0" fillId="0" borderId="8" pivotButton="0" quotePrefix="0" xfId="0"/>
    <xf numFmtId="0" fontId="0" fillId="0" borderId="9" pivotButton="0" quotePrefix="0" xfId="0"/>
    <xf numFmtId="0" fontId="0" fillId="0" borderId="14" pivotButton="0" quotePrefix="0" xfId="0"/>
    <xf numFmtId="0" fontId="0" fillId="0" borderId="15" pivotButton="0" quotePrefix="0" xfId="0"/>
    <xf numFmtId="0" fontId="0" fillId="0" borderId="16" pivotButton="0" quotePrefix="0" xfId="0"/>
    <xf numFmtId="0" fontId="0" fillId="0" borderId="18" pivotButton="0" quotePrefix="0" xfId="0"/>
    <xf numFmtId="0" fontId="0" fillId="0" borderId="12" pivotButton="0" quotePrefix="0" xfId="0"/>
    <xf numFmtId="0" fontId="0" fillId="0" borderId="13" pivotButton="0" quotePrefix="0" xfId="0"/>
    <xf numFmtId="0" fontId="0" fillId="0" borderId="19" pivotButton="0" quotePrefix="0" xfId="0"/>
    <xf numFmtId="0" fontId="0" fillId="0" borderId="20" pivotButton="0" quotePrefix="0" xfId="0"/>
    <xf numFmtId="0" fontId="15" fillId="7" borderId="0" applyAlignment="1" pivotButton="0" quotePrefix="0" xfId="0">
      <alignment horizontal="center" vertical="center" wrapText="1"/>
    </xf>
    <xf numFmtId="0" fontId="16" fillId="8" borderId="6" applyAlignment="1" pivotButton="0" quotePrefix="0" xfId="0">
      <alignment horizontal="right" vertical="center" wrapText="1"/>
    </xf>
    <xf numFmtId="0" fontId="17" fillId="8" borderId="6" applyAlignment="1" pivotButton="0" quotePrefix="0" xfId="0">
      <alignment horizontal="right" vertical="center" wrapText="1"/>
    </xf>
    <xf numFmtId="0" fontId="18" fillId="9" borderId="5" applyAlignment="1" pivotButton="0" quotePrefix="0" xfId="0">
      <alignment horizontal="right" vertical="center" wrapText="1"/>
    </xf>
    <xf numFmtId="0" fontId="17" fillId="9" borderId="5" applyAlignment="1" pivotButton="0" quotePrefix="0" xfId="0">
      <alignment horizontal="right" vertical="center" wrapText="1"/>
    </xf>
    <xf numFmtId="0" fontId="19" fillId="12" borderId="21" applyAlignment="1" pivotButton="0" quotePrefix="0" xfId="0">
      <alignment horizontal="right" vertical="center" wrapText="1"/>
    </xf>
    <xf numFmtId="0" fontId="17" fillId="12" borderId="21" applyAlignment="1" pivotButton="0" quotePrefix="0" xfId="0">
      <alignment horizontal="right" vertical="center" wrapText="1"/>
    </xf>
    <xf numFmtId="0" fontId="20" fillId="11" borderId="7" applyAlignment="1" pivotButton="0" quotePrefix="0" xfId="0">
      <alignment horizontal="right" vertical="center" wrapText="1"/>
    </xf>
    <xf numFmtId="0" fontId="17" fillId="11" borderId="7" applyAlignment="1" pivotButton="0" quotePrefix="0" xfId="0">
      <alignment horizontal="right" vertical="center" wrapText="1"/>
    </xf>
    <xf numFmtId="0" fontId="16" fillId="0" borderId="0" pivotButton="0" quotePrefix="0" xfId="0"/>
    <xf numFmtId="0" fontId="15" fillId="0" borderId="0" pivotButton="0" quotePrefix="0" xfId="0"/>
    <xf numFmtId="0" fontId="21" fillId="13" borderId="0" applyAlignment="1" pivotButton="0" quotePrefix="0" xfId="0">
      <alignment horizontal="center" vertical="center"/>
    </xf>
    <xf numFmtId="0" fontId="22" fillId="13" borderId="0" applyAlignment="1" pivotButton="0" quotePrefix="0" xfId="0">
      <alignment horizontal="center" vertical="center"/>
    </xf>
    <xf numFmtId="0" fontId="23" fillId="14" borderId="1" applyAlignment="1" pivotButton="0" quotePrefix="0" xfId="0">
      <alignment horizontal="left" vertical="center"/>
    </xf>
    <xf numFmtId="0" fontId="23" fillId="14" borderId="1" applyAlignment="1" pivotButton="0" quotePrefix="0" xfId="0">
      <alignment horizontal="center" vertical="center"/>
    </xf>
    <xf numFmtId="0" fontId="24" fillId="0" borderId="1" pivotButton="0" quotePrefix="0" xfId="0"/>
    <xf numFmtId="0" fontId="24" fillId="0" borderId="1" applyAlignment="1" pivotButton="0" quotePrefix="0" xfId="0">
      <alignment horizontal="center" vertical="center"/>
    </xf>
    <xf numFmtId="3" fontId="24" fillId="15" borderId="1" applyAlignment="1" pivotButton="0" quotePrefix="0" xfId="0">
      <alignment horizontal="right" vertical="center"/>
    </xf>
    <xf numFmtId="0" fontId="25" fillId="0" borderId="1" pivotButton="0" quotePrefix="0" xfId="0"/>
    <xf numFmtId="0" fontId="25" fillId="0" borderId="1" applyAlignment="1" pivotButton="0" quotePrefix="0" xfId="0">
      <alignment horizontal="center" vertical="center"/>
    </xf>
    <xf numFmtId="3" fontId="25" fillId="0" borderId="1" applyAlignment="1" pivotButton="0" quotePrefix="0" xfId="0">
      <alignment horizontal="right" vertical="center"/>
    </xf>
    <xf numFmtId="3" fontId="24" fillId="16" borderId="1" applyAlignment="1" pivotButton="0" quotePrefix="0" xfId="0">
      <alignment horizontal="right" vertical="center"/>
    </xf>
    <xf numFmtId="0" fontId="26" fillId="0" borderId="1" pivotButton="0" quotePrefix="0" xfId="0"/>
    <xf numFmtId="0" fontId="26" fillId="0" borderId="1" applyAlignment="1" pivotButton="0" quotePrefix="0" xfId="0">
      <alignment horizontal="center" vertical="center"/>
    </xf>
    <xf numFmtId="3" fontId="26" fillId="15" borderId="22" applyAlignment="1" pivotButton="0" quotePrefix="0" xfId="0">
      <alignment horizontal="right" vertical="center"/>
    </xf>
    <xf numFmtId="0" fontId="0" fillId="0" borderId="0" applyAlignment="1" pivotButton="0" quotePrefix="0" xfId="0">
      <alignment horizontal="center" vertical="center"/>
    </xf>
    <xf numFmtId="0" fontId="27" fillId="15" borderId="0" applyAlignment="1" pivotButton="0" quotePrefix="0" xfId="0">
      <alignment horizontal="left" vertical="center"/>
    </xf>
    <xf numFmtId="0" fontId="28" fillId="0" borderId="1" pivotButton="0" quotePrefix="0" xfId="0"/>
    <xf numFmtId="0" fontId="28" fillId="0" borderId="1" applyAlignment="1" pivotButton="0" quotePrefix="0" xfId="0">
      <alignment horizontal="center" vertical="center"/>
    </xf>
    <xf numFmtId="3" fontId="28" fillId="17" borderId="1" applyAlignment="1" pivotButton="0" quotePrefix="0" xfId="0">
      <alignment horizontal="right" vertical="center"/>
    </xf>
    <xf numFmtId="0" fontId="21" fillId="14" borderId="0" applyAlignment="1" pivotButton="0" quotePrefix="0" xfId="0">
      <alignment horizontal="center" vertical="center"/>
    </xf>
    <xf numFmtId="0" fontId="22" fillId="14" borderId="0" applyAlignment="1" pivotButton="0" quotePrefix="0" xfId="0">
      <alignment horizontal="center" vertical="center"/>
    </xf>
    <xf numFmtId="0" fontId="23" fillId="13" borderId="1" applyAlignment="1" pivotButton="0" quotePrefix="0" xfId="0">
      <alignment horizontal="left" vertical="center"/>
    </xf>
    <xf numFmtId="0" fontId="23" fillId="13" borderId="1" applyAlignment="1" pivotButton="0" quotePrefix="0" xfId="0">
      <alignment horizontal="center" vertical="center"/>
    </xf>
    <xf numFmtId="0" fontId="24" fillId="16" borderId="22" pivotButton="0" quotePrefix="0" xfId="0"/>
    <xf numFmtId="0" fontId="0" fillId="16" borderId="22" pivotButton="0" quotePrefix="0" xfId="0"/>
    <xf numFmtId="3" fontId="24" fillId="16" borderId="22" applyAlignment="1" pivotButton="0" quotePrefix="0" xfId="0">
      <alignment horizontal="right" vertical="center"/>
    </xf>
    <xf numFmtId="0" fontId="28" fillId="17" borderId="22" applyAlignment="1" pivotButton="0" quotePrefix="0" xfId="0">
      <alignment horizontal="center" vertical="center"/>
    </xf>
    <xf numFmtId="3" fontId="24" fillId="0" borderId="1" applyAlignment="1" pivotButton="0" quotePrefix="0" xfId="0">
      <alignment horizontal="right" vertical="center"/>
    </xf>
    <xf numFmtId="166" fontId="24" fillId="15" borderId="1" applyAlignment="1" pivotButton="0" quotePrefix="0" xfId="0">
      <alignment horizontal="right" vertical="center"/>
    </xf>
    <xf numFmtId="166" fontId="25" fillId="0" borderId="1" applyAlignment="1" pivotButton="0" quotePrefix="0" xfId="0">
      <alignment horizontal="right" vertical="center"/>
    </xf>
    <xf numFmtId="0" fontId="25" fillId="0" borderId="1" applyAlignment="1" pivotButton="0" quotePrefix="0" xfId="0">
      <alignment horizontal="right" vertical="center"/>
    </xf>
    <xf numFmtId="0" fontId="29" fillId="18" borderId="1" applyAlignment="1" pivotButton="0" quotePrefix="0" xfId="0">
      <alignment horizontal="right" vertical="center"/>
    </xf>
    <xf numFmtId="0" fontId="28" fillId="17"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
  <sheetViews>
    <sheetView showGridLines="1" rightToLeft="1" workbookViewId="0">
      <selection activeCell="A1" sqref="A1"/>
    </sheetView>
  </sheetViews>
  <sheetFormatPr baseColWidth="8" defaultRowHeight="15" outlineLevelCol="0"/>
  <cols>
    <col width="14" customWidth="1" min="1" max="1"/>
    <col width="14" customWidth="1" min="2" max="2"/>
    <col width="16" customWidth="1" min="3" max="3"/>
    <col width="18" customWidth="1" min="4" max="4"/>
    <col width="18" customWidth="1" min="5" max="5"/>
    <col width="18" customWidth="1" min="6" max="6"/>
    <col width="18" customWidth="1" min="7" max="7"/>
  </cols>
  <sheetData>
    <row r="1" ht="36" customHeight="1">
      <c r="A1" s="68" t="inlineStr">
        <is>
          <t>🏗️ دليل مهندس إدارة المشروعات والمكتب الفني (Project Controls &amp; Risk Engineering Guide)</t>
        </is>
      </c>
    </row>
    <row r="3" ht="26" customHeight="1">
      <c r="A3" s="69" t="inlineStr">
        <is>
          <t>📌 أولاً: المفهوم الهندسي لإدارة المخاطر في المشروعات العملاقة (Megaprojects):</t>
        </is>
      </c>
      <c r="B3" s="56" t="n"/>
      <c r="C3" s="56" t="n"/>
      <c r="D3" s="56" t="n"/>
      <c r="E3" s="56" t="n"/>
      <c r="F3" s="56" t="n"/>
      <c r="G3" s="57" t="n"/>
    </row>
    <row r="4" ht="180" customHeight="1">
      <c r="A4" s="70" t="inlineStr">
        <is>
          <t>يا بشمهندس، بصفتك مهندس في مشروع ضخم (زي مدينتي أو ساوث ميد أو مدينة نور)، إدارة المخاطر (Risk Management) مش مجرد كلام نظري أو جدول بنسلمه في كراسة الشروط.
إدارة المخاطر هي 'نظام إنذار مبكر' (Early Warning System) بيجاوبك بالأرقام على 3 أسئلة حاسمة:
1. إيه الأعطال والمشاكل التعاقدية والتنفيذية المتكررة في الموقع؟ (Disputes, Late IPCs, Inflation, Labor Strife).
2. إيه احتمالية حدوث المشكلة دي إحصائياً؟ ومعدل تكرارها كل أسبوع؟
3. مين الخطر الأكبر اللي لو مخدناش بالنا منه فوراً، هيوقف الجداول الزمنية (Baseline Schedule) ويستنزف ميزانية المشروع (Cost Overrun)؟</t>
        </is>
      </c>
      <c r="B4" s="56" t="n"/>
      <c r="C4" s="56" t="n"/>
      <c r="D4" s="56" t="n"/>
      <c r="E4" s="56" t="n"/>
      <c r="F4" s="56" t="n"/>
      <c r="G4" s="57" t="n"/>
    </row>
    <row r="6" ht="26" customHeight="1">
      <c r="A6" s="71" t="inlineStr">
        <is>
          <t>📑 ثانياً: الهيكل الإجرائي لصفحات الملف (Workflow Architecture):</t>
        </is>
      </c>
      <c r="B6" s="56" t="n"/>
      <c r="C6" s="56" t="n"/>
      <c r="D6" s="56" t="n"/>
      <c r="E6" s="56" t="n"/>
      <c r="F6" s="56" t="n"/>
      <c r="G6" s="57" t="n"/>
    </row>
    <row r="7" ht="216" customHeight="1">
      <c r="A7" s="72" t="inlineStr">
        <is>
          <t>الملف ده مبني على تسلسل هندسي واحترافي مقسم لـ 4 مراحل متتابعة:
1. ورقة العصف الذهني (Risk Brainstorming): تحديد المخاطر المرتبطة بكل إدارة (Technical Office, Procurement, Site Ops, Legal) وطرق التحكم الوقائية.
2. شيتات التقييم الدوري الأسبوعي (Risk Assesment): رصد وتتبع عدد مرات ظهور المشكلة (Occurrences) أسبوعياً على مدار 12 أسبوعاً (3 أشهر) واستخراج معامل التشتت (Likelihood L عبر AVEDEV).
3. شيتات نمذجة وايبول (Weibull Reliability Analysis): تطبيق نموذج توزيع وايبول الرياضي لحساب معدل الإخفاق الزمني (Hazard Rate) واشتقاق الاحتمالية التراكمية (p).
4. مصفوفة الأولوية والترتيب النهائي (Risk score): حساب درجة الخطر الإجمالية (Risk Score = p × L) لترتيب الأولويات للمدير التنفيذي ومدير المشروع.</t>
        </is>
      </c>
      <c r="B7" s="56" t="n"/>
      <c r="C7" s="56" t="n"/>
      <c r="D7" s="56" t="n"/>
      <c r="E7" s="56" t="n"/>
      <c r="F7" s="56" t="n"/>
      <c r="G7" s="57" t="n"/>
    </row>
    <row r="9" ht="26" customHeight="1">
      <c r="A9" s="73" t="inlineStr">
        <is>
          <t>📐 ثالثاً: الدليل الرياضي لمعادلات وايبول (Weibull Analysis Explained for Engineers):</t>
        </is>
      </c>
      <c r="B9" s="56" t="n"/>
      <c r="C9" s="56" t="n"/>
      <c r="D9" s="56" t="n"/>
      <c r="E9" s="56" t="n"/>
      <c r="F9" s="56" t="n"/>
      <c r="G9" s="57" t="n"/>
    </row>
    <row r="10" ht="270" customHeight="1">
      <c r="A10" s="74" t="inlineStr">
        <is>
          <t>توزيع وايبول (Weibull Distribution) هو النموذج الإحصائي الأقوى عالمياً في هندسة الموثوقية (Reliability Engineering) وإدارة مخاطر التشييد:
• معامل الشكل (Weibull Slope α): بيعبر عن سلوك الخطر مع الوقت:
  - إذا كان α &gt; 1 (زي ما طالع في ملفنا 2.0 إلى 2.7): ده بيثبت هندسياً ظاهرة 'معدل التآكل المتسارع' (Wear-out Phase)؛ يعني المشكلة كل ما الوقت بيعدي عليها من غير حل جذري، بتتراكم وتتفاقم وتضغط على مقاولي الباطن بمعدل أسرع!
• معامل القياس (Scale Parameter β): بيعبر عن الزمن المعتاد المميز لتكرار الواقعة (Characteristic Life).
• دالة الاحتمال التراكمي (Weibull CDF p): الاحتمالية الفعلية لحدوث الخطر عند وصول المشروع لمتوسط تردد التشغيل المعتاد.
• حدود التحكم عند مستوى ثقة 99% (Action Limit): ده السقف الحرج (Threshold). لو عدد المشاكل في أي أسبوع تجاوز هذا الرقم، يبقى النظام خرج عن السيطرة الإحصائية (Out-of-Control) ولازم تتدخل كمهندس فوراً وتصدر تقرير عدم مطابقة أو مذكرة للمدير العام.</t>
        </is>
      </c>
      <c r="B10" s="56" t="n"/>
      <c r="C10" s="56" t="n"/>
      <c r="D10" s="56" t="n"/>
      <c r="E10" s="56" t="n"/>
      <c r="F10" s="56" t="n"/>
      <c r="G10" s="57" t="n"/>
    </row>
    <row r="12" ht="26" customHeight="1">
      <c r="A12" s="75" t="inlineStr">
        <is>
          <t>🏢 رابعاً: مصفوفة المخاطر الأربعة المدققة لمجموعة طلعت مصطفى (TMG Specific Risks):</t>
        </is>
      </c>
      <c r="B12" s="56" t="n"/>
      <c r="C12" s="56" t="n"/>
      <c r="D12" s="56" t="n"/>
      <c r="E12" s="56" t="n"/>
      <c r="F12" s="56" t="n"/>
      <c r="G12" s="57" t="n"/>
    </row>
    <row r="13" ht="342" customHeight="1">
      <c r="A13" s="76" t="inlineStr">
        <is>
          <t>🥇 المركز الأول (Rank 1) — تأخير صرف المستخلصات وأوراق الدفع (Payment &amp; Privity Shield):
توقيع العقود مع الذراع التنفيذي (شركة الإسكندرية ACC أو أتريوم AQC) وليس القابضة، ومد أجل الاعتماد عبر 7 بوابات حصر، ثم السداد بشيكات آجلة (PDCs) لـ 90-270 يوماً. حجم أوراق الدفع يتجاوز 15.79B جنيه، وهو الخطر الأول لأنه بيهدد السيولة النقدية لمقاولي الباطن.
🥈 المركز الثاني (Rank 2) — تضخم الأسعار وفصل التوريد عن المصنعيات (Cost Inflation &amp; Material Decoupling):
شراء الخامات الأساسية (حديد وأسمنت) مركزياً وحصر المقاول على المصنعيات، مما يجرده من هوامش أرباح التوريد ويعرضه لزيادات أجور العمالة والمعدات.
🥉 المركز الثالث (Rank 3) — مكون الأعمال الكهروميكانيكية ومعدات البحيرات المستوردة (Water &amp; Lagoon MEP):
تنفيذ 107 كم بحيرات وشواطئ بمشروعات ساوث ميد ومدينتي يتطلب استيراد محطات ضخ وفلاتر متطورة بالدولار واليورو، مما يعرض التكلفة لفروق سعر الصرف وتأخير التوريد الجمركي.
🎖️ المركز الرابع (Rank 4) — علاقات العمل واحتجاجات الموقع (Labor Strife &amp; Workforce Friction):
مخاطر توقف العمالة بالمواقع الكبرى حال تعثر المقاول في سداد الأجور، وتستوجب تفعيل حساب وسيط (Escrow) لصرف مستحقات العمالة مباشرة.</t>
        </is>
      </c>
      <c r="B13" s="56" t="n"/>
      <c r="C13" s="56" t="n"/>
      <c r="D13" s="56" t="n"/>
      <c r="E13" s="56" t="n"/>
      <c r="F13" s="56" t="n"/>
      <c r="G13" s="57" t="n"/>
    </row>
  </sheetData>
  <mergeCells count="9">
    <mergeCell ref="A13:G13"/>
    <mergeCell ref="A1:G1"/>
    <mergeCell ref="A9:G9"/>
    <mergeCell ref="A3:G3"/>
    <mergeCell ref="A6:G6"/>
    <mergeCell ref="A12:G12"/>
    <mergeCell ref="A4:G4"/>
    <mergeCell ref="A7:G7"/>
    <mergeCell ref="A10:G10"/>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1"/>
  <sheetViews>
    <sheetView showGridLines="1" rightToLeft="1" workbookViewId="0">
      <selection activeCell="A1" sqref="A1"/>
    </sheetView>
  </sheetViews>
  <sheetFormatPr baseColWidth="8" defaultRowHeight="15" outlineLevelCol="0"/>
  <cols>
    <col width="22" customWidth="1" min="1" max="1"/>
    <col width="24" customWidth="1" min="2" max="2"/>
    <col width="32" customWidth="1" min="3" max="3"/>
    <col width="40" customWidth="1" min="4" max="4"/>
    <col width="35" customWidth="1" min="5" max="5"/>
    <col width="40" customWidth="1" min="6" max="6"/>
  </cols>
  <sheetData>
    <row r="1">
      <c r="C1" s="1" t="inlineStr">
        <is>
          <t>TMG Holding &amp; Subcontractors — Master Forensic Risk Taxonomy</t>
        </is>
      </c>
    </row>
    <row r="3" ht="28" customHeight="1">
      <c r="A3" s="2" t="inlineStr">
        <is>
          <t>Department</t>
        </is>
      </c>
      <c r="B3" s="2" t="inlineStr">
        <is>
          <t>Key Elements</t>
        </is>
      </c>
      <c r="C3" s="2" t="inlineStr">
        <is>
          <t>Construction Processes / Risk Factors</t>
        </is>
      </c>
      <c r="D3" s="2" t="inlineStr">
        <is>
          <t>Identified Forensic Risks</t>
        </is>
      </c>
      <c r="E3" s="2" t="inlineStr">
        <is>
          <t>Current Risk Management Methods (Observed)</t>
        </is>
      </c>
      <c r="F3" s="2" t="inlineStr">
        <is>
          <t>Proposed Forensic Controls &amp; Safeguards</t>
        </is>
      </c>
    </row>
    <row r="4" ht="42" customHeight="1">
      <c r="A4" s="3" t="inlineStr">
        <is>
          <t>Commercial &amp; Legal Controls</t>
        </is>
      </c>
      <c r="B4" s="3" t="inlineStr">
        <is>
          <t>Subcontractor IPCs &amp; Privity</t>
        </is>
      </c>
      <c r="C4" s="4" t="inlineStr">
        <is>
          <t>7-Gate Quantity Audit, PDC Issuance (90-270d), ACC/Atrium Privity Ring-Fencing</t>
        </is>
      </c>
      <c r="D4" s="4" t="inlineStr">
        <is>
          <t>Prolonged payment certification cycles (135–270d) &amp; commercial paper (&gt;EGP 15.79B) creating subcontractor insolvency</t>
        </is>
      </c>
      <c r="E4" s="4" t="inlineStr">
        <is>
          <t>Multi-tier site quantity survey, central Dokki audit, deferred post-dated checks (PDC), mandatory CRCICA arbitration</t>
        </is>
      </c>
      <c r="F4" s="4" t="inlineStr">
        <is>
          <t>Statutory prompt payment escrow, strict 45-day IPC sign-off limit, carve-out for Economic Court fast-track recovery</t>
        </is>
      </c>
    </row>
    <row r="5" ht="42" customHeight="1">
      <c r="A5" s="5" t="inlineStr">
        <is>
          <t>Procurement &amp; Cost Control</t>
        </is>
      </c>
      <c r="B5" s="5" t="inlineStr">
        <is>
          <t>Bulk Supply vs Labor Subcontract</t>
        </is>
      </c>
      <c r="C5" s="6" t="inlineStr">
        <is>
          <t>Centralized Steel/Cement Procurement, Labor-only Subcontracts, Currency Devaluation</t>
        </is>
      </c>
      <c r="D5" s="6" t="inlineStr">
        <is>
          <t>Subcontractor margin erosion &amp; contractor abandonment due to soaring labor wages &amp; unindexed fixed-rate BOQs</t>
        </is>
      </c>
      <c r="E5" s="6" t="inlineStr">
        <is>
          <t>Direct bulk buying from Ezz/Beshay/Suez, lump-sum labor pricing without price adjustment clauses</t>
        </is>
      </c>
      <c r="F5" s="6" t="inlineStr">
        <is>
          <t>Contractual price escalation formulas linked to CAPMAS Producer Price Index &amp; Ministry of Housing monthly bulletins</t>
        </is>
      </c>
    </row>
    <row r="6" ht="42" customHeight="1">
      <c r="A6" s="3" t="inlineStr">
        <is>
          <t>Specialized Infrastructure &amp; MEP</t>
        </is>
      </c>
      <c r="B6" s="3" t="inlineStr">
        <is>
          <t>Artificial Lagoons &amp; Pumping</t>
        </is>
      </c>
      <c r="C6" s="4" t="inlineStr">
        <is>
          <t>107km Shoreline/Lagoons (SouthMED/Madinaty), High-Spec Filtration, Imported Pumps/Nozzles</t>
        </is>
      </c>
      <c r="D6" s="4" t="inlineStr">
        <is>
          <t>Foreign exchange rate escalation (USD/EUR) on imported MEP electro-mechanical equipment &amp; lifecycle maintenance deficits</t>
        </is>
      </c>
      <c r="E6" s="4" t="inlineStr">
        <is>
          <t>Tiered subcontractor assignment (P.Zone/Metito), milestone-linked advance payments</t>
        </is>
      </c>
      <c r="F6" s="4" t="inlineStr">
        <is>
          <t>FX hedging buffer reserves, local component assembly (e.g. Schindler JV model), life-cycle maintenance sinking funds</t>
        </is>
      </c>
    </row>
    <row r="7" ht="42" customHeight="1">
      <c r="A7" s="5" t="inlineStr">
        <is>
          <t>Site Operations &amp; HSE</t>
        </is>
      </c>
      <c r="B7" s="5" t="inlineStr">
        <is>
          <t>Subcontractor Labor &amp; Execution</t>
        </is>
      </c>
      <c r="C7" s="6" t="inlineStr">
        <is>
          <t>Mega-site Mobilization (Madinaty, Noor, SouthMED), Labor Camp Management, Subcontractor Payroll</t>
        </is>
      </c>
      <c r="D7" s="6" t="inlineStr">
        <is>
          <t>Work stoppages, labor strikes, and police/regulatory intervention stemming from delayed subcontractor payroll</t>
        </is>
      </c>
      <c r="E7" s="6" t="inlineStr">
        <is>
          <t>Site security, security clearances, ad-hoc contractor reconciliation meetings</t>
        </is>
      </c>
      <c r="F7" s="6" t="inlineStr">
        <is>
          <t>Dedicated direct-labor escrow account, biometric workforce verification, independent worker grievance hotline</t>
        </is>
      </c>
    </row>
    <row r="9">
      <c r="A9" s="77" t="inlineStr">
        <is>
          <t>📘 توجيه هندسي: هيكلية العصف الذهني وتبويب المخاطر التعاقدية (Risk Breakdown Structure):</t>
        </is>
      </c>
    </row>
    <row r="10" ht="70" customHeight="1">
      <c r="A10" s="70" t="inlineStr">
        <is>
          <t>• الهدف الهندسي: قبل إصدار أوامر الإسناد (LOA) وبدء أعمال الموقع، بنعمل فحص شامل لكل إدارة لتحديد مسارات النزاع المحتملة.
• الأعمدة 1 و 2 (Department &amp; Key Elements): تحديد الإدارة المعنية ومحور العمليات التخصصي (عقود، مشتريات، إشراف موقع، أو بنية تحتية).
• العمود 3 و 4 (Processes &amp; Identified Risks): وصف الآلية التشغيلية التي ينشأ منها الخطر، والتعريف الفني للخطر المترتب عليها (مثل تأخر صرف مستخلصات مقاولي الباطن IPCs أو تآكل هوامش الربح نتيجة التضخم).
• العمود 5 و 6 (Current vs Proposed Controls): مقارنة أسلوب إدارة المشروع الحالي بالضوابط التعاقدية الموصى بها لإغلاق ثغرات النزاع والتحوط ضد قضايا التحكيم أو المطالبات الزمنية والمالية (Claims &amp; EOT).</t>
        </is>
      </c>
      <c r="B10" s="58" t="n"/>
      <c r="C10" s="58" t="n"/>
      <c r="D10" s="58" t="n"/>
      <c r="E10" s="58" t="n"/>
      <c r="F10" s="59" t="n"/>
    </row>
    <row r="11">
      <c r="A11" s="63" t="n"/>
      <c r="B11" s="61" t="n"/>
      <c r="C11" s="61" t="n"/>
      <c r="D11" s="61" t="n"/>
      <c r="E11" s="61" t="n"/>
      <c r="F11" s="62" t="n"/>
    </row>
  </sheetData>
  <mergeCells count="2">
    <mergeCell ref="C1:E1"/>
    <mergeCell ref="A10:F1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9"/>
  <sheetViews>
    <sheetView showGridLines="1" rightToLeft="1" workbookViewId="0">
      <selection activeCell="A1" sqref="A1"/>
    </sheetView>
  </sheetViews>
  <sheetFormatPr baseColWidth="8" defaultRowHeight="15" outlineLevelCol="0"/>
  <cols>
    <col width="8" customWidth="1" min="1" max="1"/>
    <col width="10" customWidth="1" min="2" max="2"/>
    <col width="25" customWidth="1" min="3" max="3"/>
    <col width="38" customWidth="1" min="4" max="4"/>
    <col width="6" customWidth="1" min="5" max="5"/>
    <col width="6" customWidth="1" min="6" max="6"/>
    <col width="6" customWidth="1" min="7" max="7"/>
    <col width="6" customWidth="1" min="8" max="8"/>
    <col width="6" customWidth="1" min="9" max="9"/>
    <col width="18" customWidth="1" min="10" max="10"/>
    <col width="16" customWidth="1" min="11" max="11"/>
  </cols>
  <sheetData>
    <row r="1">
      <c r="E1" s="7" t="inlineStr">
        <is>
          <t>Severity Of Risk (Scale 1 to 5)</t>
        </is>
      </c>
    </row>
    <row r="2" ht="24" customHeight="1">
      <c r="A2" s="8" t="inlineStr">
        <is>
          <t>Period</t>
        </is>
      </c>
      <c r="B2" s="8" t="inlineStr">
        <is>
          <t>Week</t>
        </is>
      </c>
      <c r="C2" s="8" t="inlineStr">
        <is>
          <t>Key Elements</t>
        </is>
      </c>
      <c r="D2" s="8" t="inlineStr">
        <is>
          <t>Risk</t>
        </is>
      </c>
      <c r="E2" s="8" t="inlineStr">
        <is>
          <t>1</t>
        </is>
      </c>
      <c r="F2" s="8" t="inlineStr">
        <is>
          <t>2</t>
        </is>
      </c>
      <c r="G2" s="8" t="inlineStr">
        <is>
          <t>3</t>
        </is>
      </c>
      <c r="H2" s="8" t="inlineStr">
        <is>
          <t>4</t>
        </is>
      </c>
      <c r="I2" s="8" t="inlineStr">
        <is>
          <t>5</t>
        </is>
      </c>
      <c r="J2" s="8" t="inlineStr">
        <is>
          <t>Number of occuraneces</t>
        </is>
      </c>
      <c r="K2" s="8" t="inlineStr">
        <is>
          <t>Likelihood</t>
        </is>
      </c>
    </row>
    <row r="3">
      <c r="A3" s="9" t="inlineStr">
        <is>
          <t>M1</t>
        </is>
      </c>
      <c r="B3" s="9" t="inlineStr">
        <is>
          <t>Week 1</t>
        </is>
      </c>
      <c r="C3" s="9" t="inlineStr">
        <is>
          <t>Subcontractor IPCs &amp; Privity</t>
        </is>
      </c>
      <c r="D3" s="10" t="inlineStr">
        <is>
          <t>Prolonged payment certification cycles (135–270d) &amp; commercial paper (&gt;EGP 15.79B) creating subcontractor insolvency</t>
        </is>
      </c>
      <c r="E3" s="11" t="inlineStr"/>
      <c r="F3" s="11" t="inlineStr"/>
      <c r="G3" s="11" t="inlineStr"/>
      <c r="H3" s="11" t="inlineStr"/>
      <c r="I3" s="11" t="inlineStr"/>
      <c r="J3" s="12" t="n">
        <v>8</v>
      </c>
      <c r="K3" s="13">
        <f>J3/J$15</f>
        <v/>
      </c>
    </row>
    <row r="4">
      <c r="A4" s="14" t="n"/>
      <c r="B4" s="9" t="inlineStr">
        <is>
          <t>Week 2</t>
        </is>
      </c>
      <c r="C4" s="14" t="n"/>
      <c r="D4" s="14" t="n"/>
      <c r="E4" s="11" t="inlineStr"/>
      <c r="F4" s="11" t="inlineStr"/>
      <c r="G4" s="11" t="inlineStr"/>
      <c r="H4" s="11" t="inlineStr"/>
      <c r="I4" s="11" t="inlineStr"/>
      <c r="J4" s="12" t="n">
        <v>12</v>
      </c>
      <c r="K4" s="13">
        <f>J4/J$15</f>
        <v/>
      </c>
    </row>
    <row r="5">
      <c r="A5" s="14" t="n"/>
      <c r="B5" s="9" t="inlineStr">
        <is>
          <t>Week 3</t>
        </is>
      </c>
      <c r="C5" s="14" t="n"/>
      <c r="D5" s="14" t="n"/>
      <c r="E5" s="11" t="inlineStr"/>
      <c r="F5" s="11" t="inlineStr"/>
      <c r="G5" s="11" t="inlineStr"/>
      <c r="H5" s="11" t="inlineStr"/>
      <c r="I5" s="11" t="inlineStr"/>
      <c r="J5" s="12" t="n">
        <v>11</v>
      </c>
      <c r="K5" s="13">
        <f>J5/J$15</f>
        <v/>
      </c>
    </row>
    <row r="6">
      <c r="A6" s="15" t="n"/>
      <c r="B6" s="9" t="inlineStr">
        <is>
          <t>Week 4</t>
        </is>
      </c>
      <c r="C6" s="14" t="n"/>
      <c r="D6" s="14" t="n"/>
      <c r="E6" s="11" t="inlineStr"/>
      <c r="F6" s="11" t="inlineStr"/>
      <c r="G6" s="11" t="inlineStr"/>
      <c r="H6" s="11" t="inlineStr"/>
      <c r="I6" s="11" t="inlineStr"/>
      <c r="J6" s="12" t="n">
        <v>7</v>
      </c>
      <c r="K6" s="13">
        <f>J6/J$15</f>
        <v/>
      </c>
    </row>
    <row r="7">
      <c r="A7" s="16" t="inlineStr">
        <is>
          <t>M2</t>
        </is>
      </c>
      <c r="B7" s="16" t="inlineStr">
        <is>
          <t>Week 1</t>
        </is>
      </c>
      <c r="C7" s="14" t="n"/>
      <c r="D7" s="14" t="n"/>
      <c r="E7" s="17" t="inlineStr"/>
      <c r="F7" s="17" t="inlineStr"/>
      <c r="G7" s="17" t="inlineStr"/>
      <c r="H7" s="17" t="inlineStr"/>
      <c r="I7" s="17" t="inlineStr"/>
      <c r="J7" s="18" t="n">
        <v>9</v>
      </c>
      <c r="K7" s="19">
        <f>J7/J$15</f>
        <v/>
      </c>
    </row>
    <row r="8">
      <c r="A8" s="14" t="n"/>
      <c r="B8" s="16" t="inlineStr">
        <is>
          <t>Week 2</t>
        </is>
      </c>
      <c r="C8" s="14" t="n"/>
      <c r="D8" s="14" t="n"/>
      <c r="E8" s="17" t="inlineStr"/>
      <c r="F8" s="17" t="inlineStr"/>
      <c r="G8" s="17" t="inlineStr"/>
      <c r="H8" s="17" t="inlineStr"/>
      <c r="I8" s="17" t="inlineStr"/>
      <c r="J8" s="18" t="n">
        <v>6</v>
      </c>
      <c r="K8" s="19">
        <f>J8/J$15</f>
        <v/>
      </c>
    </row>
    <row r="9">
      <c r="A9" s="14" t="n"/>
      <c r="B9" s="16" t="inlineStr">
        <is>
          <t>Week 3</t>
        </is>
      </c>
      <c r="C9" s="14" t="n"/>
      <c r="D9" s="14" t="n"/>
      <c r="E9" s="17" t="inlineStr"/>
      <c r="F9" s="17" t="inlineStr"/>
      <c r="G9" s="17" t="inlineStr"/>
      <c r="H9" s="17" t="inlineStr"/>
      <c r="I9" s="17" t="inlineStr"/>
      <c r="J9" s="18" t="n">
        <v>14</v>
      </c>
      <c r="K9" s="19">
        <f>J9/J$15</f>
        <v/>
      </c>
    </row>
    <row r="10">
      <c r="A10" s="15" t="n"/>
      <c r="B10" s="16" t="inlineStr">
        <is>
          <t>Week 4</t>
        </is>
      </c>
      <c r="C10" s="14" t="n"/>
      <c r="D10" s="14" t="n"/>
      <c r="E10" s="17" t="inlineStr"/>
      <c r="F10" s="17" t="inlineStr"/>
      <c r="G10" s="17" t="inlineStr"/>
      <c r="H10" s="17" t="inlineStr"/>
      <c r="I10" s="17" t="inlineStr"/>
      <c r="J10" s="18" t="n">
        <v>15</v>
      </c>
      <c r="K10" s="19">
        <f>J10/J$15</f>
        <v/>
      </c>
    </row>
    <row r="11">
      <c r="A11" s="9" t="inlineStr">
        <is>
          <t>M3</t>
        </is>
      </c>
      <c r="B11" s="9" t="inlineStr">
        <is>
          <t>Week 1</t>
        </is>
      </c>
      <c r="C11" s="14" t="n"/>
      <c r="D11" s="14" t="n"/>
      <c r="E11" s="11" t="inlineStr"/>
      <c r="F11" s="11" t="inlineStr"/>
      <c r="G11" s="11" t="inlineStr"/>
      <c r="H11" s="11" t="inlineStr"/>
      <c r="I11" s="11" t="inlineStr"/>
      <c r="J11" s="12" t="n">
        <v>12</v>
      </c>
      <c r="K11" s="13">
        <f>J11/J$15</f>
        <v/>
      </c>
    </row>
    <row r="12">
      <c r="A12" s="14" t="n"/>
      <c r="B12" s="9" t="inlineStr">
        <is>
          <t>Week 2</t>
        </is>
      </c>
      <c r="C12" s="14" t="n"/>
      <c r="D12" s="14" t="n"/>
      <c r="E12" s="11" t="inlineStr"/>
      <c r="F12" s="11" t="inlineStr"/>
      <c r="G12" s="11" t="inlineStr"/>
      <c r="H12" s="11" t="inlineStr"/>
      <c r="I12" s="11" t="inlineStr"/>
      <c r="J12" s="12" t="n">
        <v>16</v>
      </c>
      <c r="K12" s="13">
        <f>J12/J$15</f>
        <v/>
      </c>
    </row>
    <row r="13">
      <c r="A13" s="14" t="n"/>
      <c r="B13" s="9" t="inlineStr">
        <is>
          <t>Week 3</t>
        </is>
      </c>
      <c r="C13" s="14" t="n"/>
      <c r="D13" s="14" t="n"/>
      <c r="E13" s="11" t="inlineStr"/>
      <c r="F13" s="11" t="inlineStr"/>
      <c r="G13" s="11" t="inlineStr"/>
      <c r="H13" s="11" t="inlineStr"/>
      <c r="I13" s="11" t="inlineStr"/>
      <c r="J13" s="12" t="n">
        <v>10</v>
      </c>
      <c r="K13" s="13">
        <f>J13/J$15</f>
        <v/>
      </c>
    </row>
    <row r="14">
      <c r="A14" s="15" t="n"/>
      <c r="B14" s="9" t="inlineStr">
        <is>
          <t>Week 4</t>
        </is>
      </c>
      <c r="C14" s="15" t="n"/>
      <c r="D14" s="15" t="n"/>
      <c r="E14" s="11" t="inlineStr"/>
      <c r="F14" s="11" t="inlineStr"/>
      <c r="G14" s="11" t="inlineStr"/>
      <c r="H14" s="11" t="inlineStr"/>
      <c r="I14" s="11" t="inlineStr"/>
      <c r="J14" s="12" t="n">
        <v>13</v>
      </c>
      <c r="K14" s="13">
        <f>J14/J$15</f>
        <v/>
      </c>
    </row>
    <row r="15">
      <c r="I15" s="20" t="inlineStr">
        <is>
          <t>Total / Disp:</t>
        </is>
      </c>
      <c r="J15" s="21">
        <f>SUM(J3:J14)</f>
        <v/>
      </c>
      <c r="K15" s="22">
        <f>AVEDEV(K3:K14)</f>
        <v/>
      </c>
    </row>
    <row r="17">
      <c r="A17" s="77" t="inlineStr">
        <is>
          <t>📘 التوجيه الهندسي لقراءة السجل: سجل الرصد الأسبوعي لمستخلصات مقاولي الباطن والعزل التعاقدي (Payment Certification &amp; Privity Audit)</t>
        </is>
      </c>
    </row>
    <row r="18" ht="70" customHeight="1">
      <c r="A18" s="70" t="inlineStr">
        <is>
          <t>• السياق الهندسي: رصد وتوثيق دوري لشكاوى ومطالبات مقاولي الباطن بشأن تأخر اعتماد المستخلصات الجارية (IPCs) والشيكات الآجلة (PDCs) لدى شركة الإسكندرية (ACC) وأتريوم (AQC).
• عمود عدد التكرارات (Column J - Occurrences): عدد وقائع النزاع أو الشكاوى أو مذكرات التأخير المسجلة رسمياً خلال كل أسبوع تعاقدي.
• عمود الاحتمالية النسبية (Column K - Relative Likelihood): النسبة المئوية للمشكلة في ذلك الأسبوع مقارنة بإجمالي الوقائع المسجلة خلال الربع السنوي (J/Total).
• خلية التشتت الإحصائي (Cell K15 - AVEDEV): حساب متوسط الانحراف المطلق (Average Absolute Deviation). رياضياً: الرقم ده بيقيس مدى تذبذب واستقرار معدل حدوث المشكلة أسبوعياً، وبيشكل مدخل معامل الاحتمالية (Likelihood L) في التقييم النهائي.</t>
        </is>
      </c>
      <c r="B18" s="58" t="n"/>
      <c r="C18" s="58" t="n"/>
      <c r="D18" s="58" t="n"/>
      <c r="E18" s="58" t="n"/>
      <c r="F18" s="58" t="n"/>
      <c r="G18" s="58" t="n"/>
      <c r="H18" s="58" t="n"/>
      <c r="I18" s="58" t="n"/>
      <c r="J18" s="58" t="n"/>
      <c r="K18" s="59" t="n"/>
    </row>
    <row r="19">
      <c r="A19" s="63" t="n"/>
      <c r="B19" s="61" t="n"/>
      <c r="C19" s="61" t="n"/>
      <c r="D19" s="61" t="n"/>
      <c r="E19" s="61" t="n"/>
      <c r="F19" s="61" t="n"/>
      <c r="G19" s="61" t="n"/>
      <c r="H19" s="61" t="n"/>
      <c r="I19" s="61" t="n"/>
      <c r="J19" s="61" t="n"/>
      <c r="K19" s="62" t="n"/>
    </row>
  </sheetData>
  <mergeCells count="7">
    <mergeCell ref="A7:A10"/>
    <mergeCell ref="D3:D14"/>
    <mergeCell ref="A3:A6"/>
    <mergeCell ref="C3:C14"/>
    <mergeCell ref="E1:I1"/>
    <mergeCell ref="A11:A14"/>
    <mergeCell ref="A18:K19"/>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2:M33"/>
  <sheetViews>
    <sheetView showGridLines="1" rightToLeft="1" workbookViewId="0">
      <selection activeCell="A1" sqref="A1"/>
    </sheetView>
  </sheetViews>
  <sheetFormatPr baseColWidth="8" defaultRowHeight="15" outlineLevelCol="0"/>
  <cols>
    <col width="8" customWidth="1" min="1" max="1"/>
    <col width="12" customWidth="1" min="2" max="2"/>
    <col width="20" customWidth="1" min="3" max="3"/>
    <col width="10" customWidth="1" min="4" max="4"/>
    <col width="16" customWidth="1" min="5" max="5"/>
    <col width="16" customWidth="1" min="6" max="6"/>
    <col width="6" customWidth="1" min="7" max="7"/>
    <col width="6" customWidth="1" min="8" max="8"/>
    <col width="28" customWidth="1" min="9" max="9"/>
    <col width="20" customWidth="1" min="10" max="10"/>
    <col width="16" customWidth="1" min="11" max="11"/>
    <col width="6" customWidth="1" min="12" max="12"/>
    <col width="20" customWidth="1" min="13" max="13"/>
  </cols>
  <sheetData>
    <row r="2">
      <c r="B2" s="23" t="inlineStr">
        <is>
          <t>Weibull Reliability &amp; Occurrence Modelling: Payment Gatekeeping &amp; Privity</t>
        </is>
      </c>
    </row>
    <row r="7">
      <c r="C7" s="24" t="inlineStr">
        <is>
          <t>X</t>
        </is>
      </c>
      <c r="D7" s="24" t="inlineStr">
        <is>
          <t>Step1</t>
        </is>
      </c>
      <c r="E7" s="24" t="inlineStr">
        <is>
          <t>Step2</t>
        </is>
      </c>
      <c r="F7" s="24" t="inlineStr">
        <is>
          <t>Step3</t>
        </is>
      </c>
    </row>
    <row r="8" ht="24" customHeight="1">
      <c r="B8" s="2" t="inlineStr">
        <is>
          <t>Weeks</t>
        </is>
      </c>
      <c r="C8" s="2" t="inlineStr">
        <is>
          <t>Number of occurances</t>
        </is>
      </c>
      <c r="D8" s="2" t="inlineStr">
        <is>
          <t>Rank</t>
        </is>
      </c>
      <c r="E8" s="2" t="inlineStr">
        <is>
          <t>X-axis</t>
        </is>
      </c>
      <c r="F8" s="2" t="inlineStr">
        <is>
          <t>Y-axis</t>
        </is>
      </c>
      <c r="I8" s="2" t="inlineStr">
        <is>
          <t>Excel Weibull function</t>
        </is>
      </c>
      <c r="J8" s="2" t="inlineStr">
        <is>
          <t>Parameter / Value</t>
        </is>
      </c>
      <c r="K8" s="2" t="inlineStr">
        <is>
          <t>Calculation Step</t>
        </is>
      </c>
      <c r="M8" s="2" t="inlineStr">
        <is>
          <t>Statistical Metrics</t>
        </is>
      </c>
    </row>
    <row r="9">
      <c r="A9" s="9" t="inlineStr">
        <is>
          <t>M1</t>
        </is>
      </c>
      <c r="B9" s="9" t="inlineStr">
        <is>
          <t>Week1</t>
        </is>
      </c>
      <c r="C9" s="12">
        <f>'Risk Assesment(Payment&amp;Privity)'!J3</f>
        <v/>
      </c>
      <c r="D9" s="3">
        <f>RANK(C9,C$9:C$20,1)</f>
        <v/>
      </c>
      <c r="E9" s="13">
        <f>LN(LN(1/(1-((D9-0.3)/(12+0.4)))))</f>
        <v/>
      </c>
      <c r="F9" s="13">
        <f>LN(C9)</f>
        <v/>
      </c>
      <c r="I9" s="25" t="inlineStr">
        <is>
          <t>Weibull Slope α</t>
        </is>
      </c>
      <c r="J9" s="26">
        <f>1/SLOPE(F9:F20,E9:E20)</f>
        <v/>
      </c>
      <c r="K9" s="9" t="inlineStr">
        <is>
          <t>Step4</t>
        </is>
      </c>
    </row>
    <row r="10">
      <c r="A10" s="14" t="n"/>
      <c r="B10" s="9" t="inlineStr">
        <is>
          <t>Week2</t>
        </is>
      </c>
      <c r="C10" s="12">
        <f>'Risk Assesment(Payment&amp;Privity)'!J4</f>
        <v/>
      </c>
      <c r="D10" s="3">
        <f>RANK(C10,C$9:C$20,1)</f>
        <v/>
      </c>
      <c r="E10" s="13">
        <f>LN(LN(1/(1-((D10-0.3)/(12+0.4)))))</f>
        <v/>
      </c>
      <c r="F10" s="13">
        <f>LN(C10)</f>
        <v/>
      </c>
      <c r="I10" s="25" t="inlineStr">
        <is>
          <t>Scale Parameter β</t>
        </is>
      </c>
      <c r="J10" s="26">
        <f>EXP(INTERCEPT(F9:F20,E9:E20))</f>
        <v/>
      </c>
      <c r="K10" s="9" t="inlineStr">
        <is>
          <t>Step5</t>
        </is>
      </c>
      <c r="M10" s="25" t="inlineStr">
        <is>
          <t>Mean (average)</t>
        </is>
      </c>
    </row>
    <row r="11">
      <c r="A11" s="14" t="n"/>
      <c r="B11" s="9" t="inlineStr">
        <is>
          <t>Week3</t>
        </is>
      </c>
      <c r="C11" s="12">
        <f>'Risk Assesment(Payment&amp;Privity)'!J5</f>
        <v/>
      </c>
      <c r="D11" s="3">
        <f>RANK(C11,C$9:C$20,1)</f>
        <v/>
      </c>
      <c r="E11" s="13">
        <f>LN(LN(1/(1-((D11-0.3)/(12+0.4)))))</f>
        <v/>
      </c>
      <c r="F11" s="13">
        <f>LN(C11)</f>
        <v/>
      </c>
      <c r="I11" s="25" t="inlineStr">
        <is>
          <t>Weibull, CDF (Cumulative P)</t>
        </is>
      </c>
      <c r="J11" s="27">
        <f>1-EXP(-((M11/J10)^J9))</f>
        <v/>
      </c>
      <c r="K11" s="9" t="inlineStr">
        <is>
          <t>Step6</t>
        </is>
      </c>
      <c r="M11" s="28">
        <f>AVERAGE(C9:C20)</f>
        <v/>
      </c>
    </row>
    <row r="12">
      <c r="A12" s="15" t="n"/>
      <c r="B12" s="9" t="inlineStr">
        <is>
          <t>Week4</t>
        </is>
      </c>
      <c r="C12" s="12">
        <f>'Risk Assesment(Payment&amp;Privity)'!J6</f>
        <v/>
      </c>
      <c r="D12" s="3">
        <f>RANK(C12,C$9:C$20,1)</f>
        <v/>
      </c>
      <c r="E12" s="13">
        <f>LN(LN(1/(1-((D12-0.3)/(12+0.4)))))</f>
        <v/>
      </c>
      <c r="F12" s="13">
        <f>LN(C12)</f>
        <v/>
      </c>
    </row>
    <row r="13">
      <c r="A13" s="16" t="inlineStr">
        <is>
          <t>M2</t>
        </is>
      </c>
      <c r="B13" s="16" t="inlineStr">
        <is>
          <t>Week5</t>
        </is>
      </c>
      <c r="C13" s="18">
        <f>'Risk Assesment(Payment&amp;Privity)'!J7</f>
        <v/>
      </c>
      <c r="D13" s="29">
        <f>RANK(C13,C$9:C$20,1)</f>
        <v/>
      </c>
      <c r="E13" s="19">
        <f>LN(LN(1/(1-((D13-0.3)/(12+0.4)))))</f>
        <v/>
      </c>
      <c r="F13" s="19">
        <f>LN(C13)</f>
        <v/>
      </c>
    </row>
    <row r="14">
      <c r="A14" s="14" t="n"/>
      <c r="B14" s="16" t="inlineStr">
        <is>
          <t>Week6</t>
        </is>
      </c>
      <c r="C14" s="18">
        <f>'Risk Assesment(Payment&amp;Privity)'!J8</f>
        <v/>
      </c>
      <c r="D14" s="29">
        <f>RANK(C14,C$9:C$20,1)</f>
        <v/>
      </c>
      <c r="E14" s="19">
        <f>LN(LN(1/(1-((D14-0.3)/(12+0.4)))))</f>
        <v/>
      </c>
      <c r="F14" s="19">
        <f>LN(C14)</f>
        <v/>
      </c>
      <c r="I14" s="30" t="inlineStr">
        <is>
          <t>Weibull (CDF) defines cumulative probability of risk occurrence at mean operating frequency</t>
        </is>
      </c>
    </row>
    <row r="15">
      <c r="A15" s="14" t="n"/>
      <c r="B15" s="16" t="inlineStr">
        <is>
          <t>Week7</t>
        </is>
      </c>
      <c r="C15" s="18">
        <f>'Risk Assesment(Payment&amp;Privity)'!J9</f>
        <v/>
      </c>
      <c r="D15" s="29">
        <f>RANK(C15,C$9:C$20,1)</f>
        <v/>
      </c>
      <c r="E15" s="19">
        <f>LN(LN(1/(1-((D15-0.3)/(12+0.4)))))</f>
        <v/>
      </c>
      <c r="F15" s="19">
        <f>LN(C15)</f>
        <v/>
      </c>
    </row>
    <row r="16">
      <c r="A16" s="15" t="n"/>
      <c r="B16" s="16" t="inlineStr">
        <is>
          <t>Week8</t>
        </is>
      </c>
      <c r="C16" s="18">
        <f>'Risk Assesment(Payment&amp;Privity)'!J10</f>
        <v/>
      </c>
      <c r="D16" s="29">
        <f>RANK(C16,C$9:C$20,1)</f>
        <v/>
      </c>
      <c r="E16" s="19">
        <f>LN(LN(1/(1-((D16-0.3)/(12+0.4)))))</f>
        <v/>
      </c>
      <c r="F16" s="19">
        <f>LN(C16)</f>
        <v/>
      </c>
    </row>
    <row r="17">
      <c r="A17" s="9" t="inlineStr">
        <is>
          <t>M3</t>
        </is>
      </c>
      <c r="B17" s="9" t="inlineStr">
        <is>
          <t>Week9</t>
        </is>
      </c>
      <c r="C17" s="12">
        <f>'Risk Assesment(Payment&amp;Privity)'!J11</f>
        <v/>
      </c>
      <c r="D17" s="3">
        <f>RANK(C17,C$9:C$20,1)</f>
        <v/>
      </c>
      <c r="E17" s="13">
        <f>LN(LN(1/(1-((D17-0.3)/(12+0.4)))))</f>
        <v/>
      </c>
      <c r="F17" s="13">
        <f>LN(C17)</f>
        <v/>
      </c>
    </row>
    <row r="18">
      <c r="A18" s="14" t="n"/>
      <c r="B18" s="9" t="inlineStr">
        <is>
          <t>Week10</t>
        </is>
      </c>
      <c r="C18" s="12">
        <f>'Risk Assesment(Payment&amp;Privity)'!J12</f>
        <v/>
      </c>
      <c r="D18" s="3">
        <f>RANK(C18,C$9:C$20,1)</f>
        <v/>
      </c>
      <c r="E18" s="13">
        <f>LN(LN(1/(1-((D18-0.3)/(12+0.4)))))</f>
        <v/>
      </c>
      <c r="F18" s="13">
        <f>LN(C18)</f>
        <v/>
      </c>
    </row>
    <row r="19">
      <c r="A19" s="14" t="n"/>
      <c r="B19" s="9" t="inlineStr">
        <is>
          <t>Week11</t>
        </is>
      </c>
      <c r="C19" s="12">
        <f>'Risk Assesment(Payment&amp;Privity)'!J13</f>
        <v/>
      </c>
      <c r="D19" s="3">
        <f>RANK(C19,C$9:C$20,1)</f>
        <v/>
      </c>
      <c r="E19" s="13">
        <f>LN(LN(1/(1-((D19-0.3)/(12+0.4)))))</f>
        <v/>
      </c>
      <c r="F19" s="13">
        <f>LN(C19)</f>
        <v/>
      </c>
    </row>
    <row r="20">
      <c r="A20" s="15" t="n"/>
      <c r="B20" s="9" t="inlineStr">
        <is>
          <t>Week12</t>
        </is>
      </c>
      <c r="C20" s="12">
        <f>'Risk Assesment(Payment&amp;Privity)'!J14</f>
        <v/>
      </c>
      <c r="D20" s="3">
        <f>RANK(C20,C$9:C$20,1)</f>
        <v/>
      </c>
      <c r="E20" s="13">
        <f>LN(LN(1/(1-((D20-0.3)/(12+0.4)))))</f>
        <v/>
      </c>
      <c r="F20" s="13">
        <f>LN(C20)</f>
        <v/>
      </c>
    </row>
    <row r="21">
      <c r="B21" s="31" t="inlineStr">
        <is>
          <t>EXPECTED</t>
        </is>
      </c>
      <c r="C21" s="32">
        <f>C23</f>
        <v/>
      </c>
    </row>
    <row r="23">
      <c r="B23" s="33" t="inlineStr">
        <is>
          <t>Expected Number of occurances using Weibull</t>
        </is>
      </c>
      <c r="C23" s="28">
        <f>EXP(((LN(-LN(1-88%)))/(J9))+(LN(J10)))</f>
        <v/>
      </c>
    </row>
    <row r="24">
      <c r="B24" s="33" t="inlineStr">
        <is>
          <t>Expected Number of occurances using Exponential</t>
        </is>
      </c>
      <c r="C24" s="34">
        <f>LN(1-75%)/(-1/M11)</f>
        <v/>
      </c>
    </row>
    <row r="26">
      <c r="B26" s="33" t="inlineStr">
        <is>
          <t>Standard Deviation</t>
        </is>
      </c>
      <c r="C26" s="34">
        <f>STDEVP(C9:C20)</f>
        <v/>
      </c>
    </row>
    <row r="27">
      <c r="B27" s="35" t="inlineStr">
        <is>
          <t>Action Limit (99%)</t>
        </is>
      </c>
      <c r="C27" s="36">
        <f>C23+(NORMSDIST(0.99)*(C26/SQRT(12)))</f>
        <v/>
      </c>
    </row>
    <row r="28">
      <c r="B28" s="33" t="inlineStr">
        <is>
          <t>Normal Limit (99%)</t>
        </is>
      </c>
      <c r="C28" s="34">
        <f>C23-(NORMSDIST(0.99)*(C26/SQRT(12)))</f>
        <v/>
      </c>
    </row>
    <row r="30">
      <c r="B30" s="77" t="inlineStr">
        <is>
          <t>📐 دليل المهندس لتحليل نتائج ومؤشرات وايبول الإحصائية (النمذجة الرياضية لموثوقية دورة الصرف ومخاطر السيولة لمقاولي الباطن):</t>
        </is>
      </c>
    </row>
    <row r="31" ht="115" customHeight="1">
      <c r="B31" s="72" t="inlineStr">
        <is>
          <t>1. التحويل الخطي لمخطط وايبول (Linearized Plot X &amp; Y):
   - تم تحويل دالة التوزيع التراكمي إلى معادلة خط مستقيم (Y = ln(C) مقابل X = ln(ln(1/(1-F)))) لتمكين استخراج الميل ونقطة التقاطع عبر دوال SLOPE و INTERCEPT.
2. معامل الشكل ومعدل الإخفاق (Weibull Slope α = 1/SLOPE):
   - القيمة المحسوبة (α &gt; 1) تؤكد هندسياً أن الخطر يمر بمرحلة 'الإخفاق المتسارع الناتج عن التقادم والضغط المستمر' (Wear-out failure rate). تراكم مستحقات المقاولين أو تأخر التوريد بيزيد من احتمالية توقف الأعمال بمعدل تصاعدي وليس عشوائياً.
3. معامل القياس المميز (Scale Parameter β = EXP(INTERCEPT)):
   - يمثل التردد المعتاد الذي يصل عنده الخطر لاحتمالية تراكمية تبلغ 63.2%.
4. الاحتمالية التراكمية عند متوسط التشغيل (Weibull CDF p):
   - النسبة المئوية الدقيقة لاحتمالية تحقق الخطر عند وصول المشروع لمتوسط تردد الحوادث الأسبوعي (Mean M11)، وتستخدم كمدخل أساسي لحساب درجة الخطر الكلية (Probability p).
5. حدود الضبط والتحكم الإحصائي (Action Limit @ 99% Confidence):
   - محسوبة وفق مبادئ الإحصاء الهندسي (μ + Z * σ / √N). إذا سجل أي أسبوع عدداً من الوقائع يتجاوز حد الإجراء (Action Limit)، فإن النظام يعتبر في حالة 'شذوذ تشغيلي حرج' (Process Out of Control) يفرض رفع تقرير عاجل للإدارة التنفيذية.</t>
        </is>
      </c>
      <c r="C31" s="58" t="n"/>
      <c r="D31" s="58" t="n"/>
      <c r="E31" s="58" t="n"/>
      <c r="F31" s="58" t="n"/>
      <c r="G31" s="58" t="n"/>
      <c r="H31" s="58" t="n"/>
      <c r="I31" s="58" t="n"/>
      <c r="J31" s="58" t="n"/>
      <c r="K31" s="58" t="n"/>
      <c r="L31" s="58" t="n"/>
      <c r="M31" s="59" t="n"/>
    </row>
    <row r="32">
      <c r="B32" s="64" t="n"/>
      <c r="M32" s="65" t="n"/>
    </row>
    <row r="33">
      <c r="B33" s="60" t="n"/>
      <c r="C33" s="61" t="n"/>
      <c r="D33" s="61" t="n"/>
      <c r="E33" s="61" t="n"/>
      <c r="F33" s="61" t="n"/>
      <c r="G33" s="61" t="n"/>
      <c r="H33" s="61" t="n"/>
      <c r="I33" s="61" t="n"/>
      <c r="J33" s="61" t="n"/>
      <c r="K33" s="61" t="n"/>
      <c r="L33" s="61" t="n"/>
      <c r="M33" s="62" t="n"/>
    </row>
  </sheetData>
  <mergeCells count="4">
    <mergeCell ref="A13:A16"/>
    <mergeCell ref="B31:M33"/>
    <mergeCell ref="A17:A20"/>
    <mergeCell ref="A9:A1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9"/>
  <sheetViews>
    <sheetView showGridLines="1" rightToLeft="1" workbookViewId="0">
      <selection activeCell="A1" sqref="A1"/>
    </sheetView>
  </sheetViews>
  <sheetFormatPr baseColWidth="8" defaultRowHeight="15" outlineLevelCol="0"/>
  <cols>
    <col width="8" customWidth="1" min="1" max="1"/>
    <col width="10" customWidth="1" min="2" max="2"/>
    <col width="25" customWidth="1" min="3" max="3"/>
    <col width="38" customWidth="1" min="4" max="4"/>
    <col width="6" customWidth="1" min="5" max="5"/>
    <col width="6" customWidth="1" min="6" max="6"/>
    <col width="6" customWidth="1" min="7" max="7"/>
    <col width="6" customWidth="1" min="8" max="8"/>
    <col width="6" customWidth="1" min="9" max="9"/>
    <col width="18" customWidth="1" min="10" max="10"/>
    <col width="16" customWidth="1" min="11" max="11"/>
  </cols>
  <sheetData>
    <row r="1">
      <c r="E1" s="7" t="inlineStr">
        <is>
          <t>Severity Of Risk (Scale 1 to 5)</t>
        </is>
      </c>
    </row>
    <row r="2" ht="24" customHeight="1">
      <c r="A2" s="8" t="inlineStr">
        <is>
          <t>Period</t>
        </is>
      </c>
      <c r="B2" s="8" t="inlineStr">
        <is>
          <t>Week</t>
        </is>
      </c>
      <c r="C2" s="8" t="inlineStr">
        <is>
          <t>Key Elements</t>
        </is>
      </c>
      <c r="D2" s="8" t="inlineStr">
        <is>
          <t>Risk</t>
        </is>
      </c>
      <c r="E2" s="8" t="inlineStr">
        <is>
          <t>1</t>
        </is>
      </c>
      <c r="F2" s="8" t="inlineStr">
        <is>
          <t>2</t>
        </is>
      </c>
      <c r="G2" s="8" t="inlineStr">
        <is>
          <t>3</t>
        </is>
      </c>
      <c r="H2" s="8" t="inlineStr">
        <is>
          <t>4</t>
        </is>
      </c>
      <c r="I2" s="8" t="inlineStr">
        <is>
          <t>5</t>
        </is>
      </c>
      <c r="J2" s="8" t="inlineStr">
        <is>
          <t>Number of occuraneces</t>
        </is>
      </c>
      <c r="K2" s="8" t="inlineStr">
        <is>
          <t>Likelihood</t>
        </is>
      </c>
    </row>
    <row r="3">
      <c r="A3" s="9" t="inlineStr">
        <is>
          <t>M1</t>
        </is>
      </c>
      <c r="B3" s="9" t="inlineStr">
        <is>
          <t>Week 1</t>
        </is>
      </c>
      <c r="C3" s="9" t="inlineStr">
        <is>
          <t>Bulk Supply vs Labor Subcontract</t>
        </is>
      </c>
      <c r="D3" s="10" t="inlineStr">
        <is>
          <t>Subcontractor margin erosion &amp; contractor abandonment due to soaring labor wages &amp; unindexed fixed-rate BOQs</t>
        </is>
      </c>
      <c r="E3" s="11" t="inlineStr"/>
      <c r="F3" s="11" t="inlineStr"/>
      <c r="G3" s="11" t="inlineStr"/>
      <c r="H3" s="11" t="inlineStr"/>
      <c r="I3" s="11" t="inlineStr"/>
      <c r="J3" s="12" t="n">
        <v>10</v>
      </c>
      <c r="K3" s="13">
        <f>J3/J$15</f>
        <v/>
      </c>
    </row>
    <row r="4">
      <c r="A4" s="14" t="n"/>
      <c r="B4" s="9" t="inlineStr">
        <is>
          <t>Week 2</t>
        </is>
      </c>
      <c r="C4" s="14" t="n"/>
      <c r="D4" s="14" t="n"/>
      <c r="E4" s="11" t="inlineStr"/>
      <c r="F4" s="11" t="inlineStr"/>
      <c r="G4" s="11" t="inlineStr"/>
      <c r="H4" s="11" t="inlineStr"/>
      <c r="I4" s="11" t="inlineStr"/>
      <c r="J4" s="12" t="n">
        <v>14</v>
      </c>
      <c r="K4" s="13">
        <f>J4/J$15</f>
        <v/>
      </c>
    </row>
    <row r="5">
      <c r="A5" s="14" t="n"/>
      <c r="B5" s="9" t="inlineStr">
        <is>
          <t>Week 3</t>
        </is>
      </c>
      <c r="C5" s="14" t="n"/>
      <c r="D5" s="14" t="n"/>
      <c r="E5" s="11" t="inlineStr"/>
      <c r="F5" s="11" t="inlineStr"/>
      <c r="G5" s="11" t="inlineStr"/>
      <c r="H5" s="11" t="inlineStr"/>
      <c r="I5" s="11" t="inlineStr"/>
      <c r="J5" s="12" t="n">
        <v>9</v>
      </c>
      <c r="K5" s="13">
        <f>J5/J$15</f>
        <v/>
      </c>
    </row>
    <row r="6">
      <c r="A6" s="15" t="n"/>
      <c r="B6" s="9" t="inlineStr">
        <is>
          <t>Week 4</t>
        </is>
      </c>
      <c r="C6" s="14" t="n"/>
      <c r="D6" s="14" t="n"/>
      <c r="E6" s="11" t="inlineStr"/>
      <c r="F6" s="11" t="inlineStr"/>
      <c r="G6" s="11" t="inlineStr"/>
      <c r="H6" s="11" t="inlineStr"/>
      <c r="I6" s="11" t="inlineStr"/>
      <c r="J6" s="12" t="n">
        <v>12</v>
      </c>
      <c r="K6" s="13">
        <f>J6/J$15</f>
        <v/>
      </c>
    </row>
    <row r="7">
      <c r="A7" s="16" t="inlineStr">
        <is>
          <t>M2</t>
        </is>
      </c>
      <c r="B7" s="16" t="inlineStr">
        <is>
          <t>Week 1</t>
        </is>
      </c>
      <c r="C7" s="14" t="n"/>
      <c r="D7" s="14" t="n"/>
      <c r="E7" s="17" t="inlineStr"/>
      <c r="F7" s="17" t="inlineStr"/>
      <c r="G7" s="17" t="inlineStr"/>
      <c r="H7" s="17" t="inlineStr"/>
      <c r="I7" s="17" t="inlineStr"/>
      <c r="J7" s="18" t="n">
        <v>11</v>
      </c>
      <c r="K7" s="19">
        <f>J7/J$15</f>
        <v/>
      </c>
    </row>
    <row r="8">
      <c r="A8" s="14" t="n"/>
      <c r="B8" s="16" t="inlineStr">
        <is>
          <t>Week 2</t>
        </is>
      </c>
      <c r="C8" s="14" t="n"/>
      <c r="D8" s="14" t="n"/>
      <c r="E8" s="17" t="inlineStr"/>
      <c r="F8" s="17" t="inlineStr"/>
      <c r="G8" s="17" t="inlineStr"/>
      <c r="H8" s="17" t="inlineStr"/>
      <c r="I8" s="17" t="inlineStr"/>
      <c r="J8" s="18" t="n">
        <v>8</v>
      </c>
      <c r="K8" s="19">
        <f>J8/J$15</f>
        <v/>
      </c>
    </row>
    <row r="9">
      <c r="A9" s="14" t="n"/>
      <c r="B9" s="16" t="inlineStr">
        <is>
          <t>Week 3</t>
        </is>
      </c>
      <c r="C9" s="14" t="n"/>
      <c r="D9" s="14" t="n"/>
      <c r="E9" s="17" t="inlineStr"/>
      <c r="F9" s="17" t="inlineStr"/>
      <c r="G9" s="17" t="inlineStr"/>
      <c r="H9" s="17" t="inlineStr"/>
      <c r="I9" s="17" t="inlineStr"/>
      <c r="J9" s="18" t="n">
        <v>15</v>
      </c>
      <c r="K9" s="19">
        <f>J9/J$15</f>
        <v/>
      </c>
    </row>
    <row r="10">
      <c r="A10" s="15" t="n"/>
      <c r="B10" s="16" t="inlineStr">
        <is>
          <t>Week 4</t>
        </is>
      </c>
      <c r="C10" s="14" t="n"/>
      <c r="D10" s="14" t="n"/>
      <c r="E10" s="17" t="inlineStr"/>
      <c r="F10" s="17" t="inlineStr"/>
      <c r="G10" s="17" t="inlineStr"/>
      <c r="H10" s="17" t="inlineStr"/>
      <c r="I10" s="17" t="inlineStr"/>
      <c r="J10" s="18" t="n">
        <v>13</v>
      </c>
      <c r="K10" s="19">
        <f>J10/J$15</f>
        <v/>
      </c>
    </row>
    <row r="11">
      <c r="A11" s="9" t="inlineStr">
        <is>
          <t>M3</t>
        </is>
      </c>
      <c r="B11" s="9" t="inlineStr">
        <is>
          <t>Week 1</t>
        </is>
      </c>
      <c r="C11" s="14" t="n"/>
      <c r="D11" s="14" t="n"/>
      <c r="E11" s="11" t="inlineStr"/>
      <c r="F11" s="11" t="inlineStr"/>
      <c r="G11" s="11" t="inlineStr"/>
      <c r="H11" s="11" t="inlineStr"/>
      <c r="I11" s="11" t="inlineStr"/>
      <c r="J11" s="12" t="n">
        <v>16</v>
      </c>
      <c r="K11" s="13">
        <f>J11/J$15</f>
        <v/>
      </c>
    </row>
    <row r="12">
      <c r="A12" s="14" t="n"/>
      <c r="B12" s="9" t="inlineStr">
        <is>
          <t>Week 2</t>
        </is>
      </c>
      <c r="C12" s="14" t="n"/>
      <c r="D12" s="14" t="n"/>
      <c r="E12" s="11" t="inlineStr"/>
      <c r="F12" s="11" t="inlineStr"/>
      <c r="G12" s="11" t="inlineStr"/>
      <c r="H12" s="11" t="inlineStr"/>
      <c r="I12" s="11" t="inlineStr"/>
      <c r="J12" s="12" t="n">
        <v>12</v>
      </c>
      <c r="K12" s="13">
        <f>J12/J$15</f>
        <v/>
      </c>
    </row>
    <row r="13">
      <c r="A13" s="14" t="n"/>
      <c r="B13" s="9" t="inlineStr">
        <is>
          <t>Week 3</t>
        </is>
      </c>
      <c r="C13" s="14" t="n"/>
      <c r="D13" s="14" t="n"/>
      <c r="E13" s="11" t="inlineStr"/>
      <c r="F13" s="11" t="inlineStr"/>
      <c r="G13" s="11" t="inlineStr"/>
      <c r="H13" s="11" t="inlineStr"/>
      <c r="I13" s="11" t="inlineStr"/>
      <c r="J13" s="12" t="n">
        <v>14</v>
      </c>
      <c r="K13" s="13">
        <f>J13/J$15</f>
        <v/>
      </c>
    </row>
    <row r="14">
      <c r="A14" s="15" t="n"/>
      <c r="B14" s="9" t="inlineStr">
        <is>
          <t>Week 4</t>
        </is>
      </c>
      <c r="C14" s="15" t="n"/>
      <c r="D14" s="15" t="n"/>
      <c r="E14" s="11" t="inlineStr"/>
      <c r="F14" s="11" t="inlineStr"/>
      <c r="G14" s="11" t="inlineStr"/>
      <c r="H14" s="11" t="inlineStr"/>
      <c r="I14" s="11" t="inlineStr"/>
      <c r="J14" s="12" t="n">
        <v>11</v>
      </c>
      <c r="K14" s="13">
        <f>J14/J$15</f>
        <v/>
      </c>
    </row>
    <row r="15">
      <c r="I15" s="20" t="inlineStr">
        <is>
          <t>Total / Disp:</t>
        </is>
      </c>
      <c r="J15" s="21">
        <f>SUM(J3:J14)</f>
        <v/>
      </c>
      <c r="K15" s="22">
        <f>AVEDEV(K3:K14)</f>
        <v/>
      </c>
    </row>
    <row r="17">
      <c r="A17" s="77" t="inlineStr">
        <is>
          <t>📘 التوجيه الهندسي لقراءة السجل: سجل الرصد الأسبوعي لمطالبات فروق الأسعار وتضخم الخامات (Cost Inflation &amp; Price Variations)</t>
        </is>
      </c>
    </row>
    <row r="18" ht="70" customHeight="1">
      <c r="A18" s="70" t="inlineStr">
        <is>
          <t>• السياق الهندسي: رصد أسبوعي لطلبات مقاولي الباطن بتعديل أسعار الفئات (Rate Adjustments) نتيجة تضخم أجور العمالة وتكاليف تشغيل المعدات في ظل عقود المصنعيات محددة السعر.
• عمود عدد التكرارات (Column J - Occurrences): عدد وقائع النزاع أو الشكاوى أو مذكرات التأخير المسجلة رسمياً خلال كل أسبوع تعاقدي.
• عمود الاحتمالية النسبية (Column K - Relative Likelihood): النسبة المئوية للمشكلة في ذلك الأسبوع مقارنة بإجمالي الوقائع المسجلة خلال الربع السنوي (J/Total).
• خلية التشتت الإحصائي (Cell K15 - AVEDEV): حساب متوسط الانحراف المطلق (Average Absolute Deviation). رياضياً: الرقم ده بيقيس مدى تذبذب واستقرار معدل حدوث المشكلة أسبوعياً، وبيشكل مدخل معامل الاحتمالية (Likelihood L) في التقييم النهائي.</t>
        </is>
      </c>
      <c r="B18" s="58" t="n"/>
      <c r="C18" s="58" t="n"/>
      <c r="D18" s="58" t="n"/>
      <c r="E18" s="58" t="n"/>
      <c r="F18" s="58" t="n"/>
      <c r="G18" s="58" t="n"/>
      <c r="H18" s="58" t="n"/>
      <c r="I18" s="58" t="n"/>
      <c r="J18" s="58" t="n"/>
      <c r="K18" s="59" t="n"/>
    </row>
    <row r="19">
      <c r="A19" s="63" t="n"/>
      <c r="B19" s="61" t="n"/>
      <c r="C19" s="61" t="n"/>
      <c r="D19" s="61" t="n"/>
      <c r="E19" s="61" t="n"/>
      <c r="F19" s="61" t="n"/>
      <c r="G19" s="61" t="n"/>
      <c r="H19" s="61" t="n"/>
      <c r="I19" s="61" t="n"/>
      <c r="J19" s="61" t="n"/>
      <c r="K19" s="62" t="n"/>
    </row>
  </sheetData>
  <mergeCells count="7">
    <mergeCell ref="A7:A10"/>
    <mergeCell ref="D3:D14"/>
    <mergeCell ref="A3:A6"/>
    <mergeCell ref="C3:C14"/>
    <mergeCell ref="E1:I1"/>
    <mergeCell ref="A11:A14"/>
    <mergeCell ref="A18:K19"/>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2:M33"/>
  <sheetViews>
    <sheetView showGridLines="1" rightToLeft="1" workbookViewId="0">
      <selection activeCell="A1" sqref="A1"/>
    </sheetView>
  </sheetViews>
  <sheetFormatPr baseColWidth="8" defaultRowHeight="15" outlineLevelCol="0"/>
  <cols>
    <col width="8" customWidth="1" min="1" max="1"/>
    <col width="12" customWidth="1" min="2" max="2"/>
    <col width="20" customWidth="1" min="3" max="3"/>
    <col width="10" customWidth="1" min="4" max="4"/>
    <col width="16" customWidth="1" min="5" max="5"/>
    <col width="16" customWidth="1" min="6" max="6"/>
    <col width="6" customWidth="1" min="7" max="7"/>
    <col width="6" customWidth="1" min="8" max="8"/>
    <col width="28" customWidth="1" min="9" max="9"/>
    <col width="20" customWidth="1" min="10" max="10"/>
    <col width="16" customWidth="1" min="11" max="11"/>
    <col width="6" customWidth="1" min="12" max="12"/>
    <col width="20" customWidth="1" min="13" max="13"/>
  </cols>
  <sheetData>
    <row r="2">
      <c r="B2" s="23" t="inlineStr">
        <is>
          <t>Weibull Reliability &amp; Occurrence Modelling: Cost Inflation &amp; Decoupling</t>
        </is>
      </c>
    </row>
    <row r="7">
      <c r="C7" s="24" t="inlineStr">
        <is>
          <t>X</t>
        </is>
      </c>
      <c r="D7" s="24" t="inlineStr">
        <is>
          <t>Step1</t>
        </is>
      </c>
      <c r="E7" s="24" t="inlineStr">
        <is>
          <t>Step2</t>
        </is>
      </c>
      <c r="F7" s="24" t="inlineStr">
        <is>
          <t>Step3</t>
        </is>
      </c>
    </row>
    <row r="8" ht="24" customHeight="1">
      <c r="B8" s="2" t="inlineStr">
        <is>
          <t>Weeks</t>
        </is>
      </c>
      <c r="C8" s="2" t="inlineStr">
        <is>
          <t>Number of occurances</t>
        </is>
      </c>
      <c r="D8" s="2" t="inlineStr">
        <is>
          <t>Rank</t>
        </is>
      </c>
      <c r="E8" s="2" t="inlineStr">
        <is>
          <t>X-axis</t>
        </is>
      </c>
      <c r="F8" s="2" t="inlineStr">
        <is>
          <t>Y-axis</t>
        </is>
      </c>
      <c r="I8" s="2" t="inlineStr">
        <is>
          <t>Excel Weibull function</t>
        </is>
      </c>
      <c r="J8" s="2" t="inlineStr">
        <is>
          <t>Parameter / Value</t>
        </is>
      </c>
      <c r="K8" s="2" t="inlineStr">
        <is>
          <t>Calculation Step</t>
        </is>
      </c>
      <c r="M8" s="2" t="inlineStr">
        <is>
          <t>Statistical Metrics</t>
        </is>
      </c>
    </row>
    <row r="9">
      <c r="A9" s="9" t="inlineStr">
        <is>
          <t>M1</t>
        </is>
      </c>
      <c r="B9" s="9" t="inlineStr">
        <is>
          <t>Week1</t>
        </is>
      </c>
      <c r="C9" s="12">
        <f>'Risk Assesment(Cost Inflation)'!J3</f>
        <v/>
      </c>
      <c r="D9" s="3">
        <f>RANK(C9,C$9:C$20,1)</f>
        <v/>
      </c>
      <c r="E9" s="13">
        <f>LN(LN(1/(1-((D9-0.3)/(12+0.4)))))</f>
        <v/>
      </c>
      <c r="F9" s="13">
        <f>LN(C9)</f>
        <v/>
      </c>
      <c r="I9" s="25" t="inlineStr">
        <is>
          <t>Weibull Slope α</t>
        </is>
      </c>
      <c r="J9" s="26">
        <f>1/SLOPE(F9:F20,E9:E20)</f>
        <v/>
      </c>
      <c r="K9" s="9" t="inlineStr">
        <is>
          <t>Step4</t>
        </is>
      </c>
    </row>
    <row r="10">
      <c r="A10" s="14" t="n"/>
      <c r="B10" s="9" t="inlineStr">
        <is>
          <t>Week2</t>
        </is>
      </c>
      <c r="C10" s="12">
        <f>'Risk Assesment(Cost Inflation)'!J4</f>
        <v/>
      </c>
      <c r="D10" s="3">
        <f>RANK(C10,C$9:C$20,1)</f>
        <v/>
      </c>
      <c r="E10" s="13">
        <f>LN(LN(1/(1-((D10-0.3)/(12+0.4)))))</f>
        <v/>
      </c>
      <c r="F10" s="13">
        <f>LN(C10)</f>
        <v/>
      </c>
      <c r="I10" s="25" t="inlineStr">
        <is>
          <t>Scale Parameter β</t>
        </is>
      </c>
      <c r="J10" s="26">
        <f>EXP(INTERCEPT(F9:F20,E9:E20))</f>
        <v/>
      </c>
      <c r="K10" s="9" t="inlineStr">
        <is>
          <t>Step5</t>
        </is>
      </c>
      <c r="M10" s="25" t="inlineStr">
        <is>
          <t>Mean (average)</t>
        </is>
      </c>
    </row>
    <row r="11">
      <c r="A11" s="14" t="n"/>
      <c r="B11" s="9" t="inlineStr">
        <is>
          <t>Week3</t>
        </is>
      </c>
      <c r="C11" s="12">
        <f>'Risk Assesment(Cost Inflation)'!J5</f>
        <v/>
      </c>
      <c r="D11" s="3">
        <f>RANK(C11,C$9:C$20,1)</f>
        <v/>
      </c>
      <c r="E11" s="13">
        <f>LN(LN(1/(1-((D11-0.3)/(12+0.4)))))</f>
        <v/>
      </c>
      <c r="F11" s="13">
        <f>LN(C11)</f>
        <v/>
      </c>
      <c r="I11" s="25" t="inlineStr">
        <is>
          <t>Weibull, CDF (Cumulative P)</t>
        </is>
      </c>
      <c r="J11" s="27">
        <f>1-EXP(-((M11/J10)^J9))</f>
        <v/>
      </c>
      <c r="K11" s="9" t="inlineStr">
        <is>
          <t>Step6</t>
        </is>
      </c>
      <c r="M11" s="28">
        <f>AVERAGE(C9:C20)</f>
        <v/>
      </c>
    </row>
    <row r="12">
      <c r="A12" s="15" t="n"/>
      <c r="B12" s="9" t="inlineStr">
        <is>
          <t>Week4</t>
        </is>
      </c>
      <c r="C12" s="12">
        <f>'Risk Assesment(Cost Inflation)'!J6</f>
        <v/>
      </c>
      <c r="D12" s="3">
        <f>RANK(C12,C$9:C$20,1)</f>
        <v/>
      </c>
      <c r="E12" s="13">
        <f>LN(LN(1/(1-((D12-0.3)/(12+0.4)))))</f>
        <v/>
      </c>
      <c r="F12" s="13">
        <f>LN(C12)</f>
        <v/>
      </c>
    </row>
    <row r="13">
      <c r="A13" s="16" t="inlineStr">
        <is>
          <t>M2</t>
        </is>
      </c>
      <c r="B13" s="16" t="inlineStr">
        <is>
          <t>Week5</t>
        </is>
      </c>
      <c r="C13" s="18">
        <f>'Risk Assesment(Cost Inflation)'!J7</f>
        <v/>
      </c>
      <c r="D13" s="29">
        <f>RANK(C13,C$9:C$20,1)</f>
        <v/>
      </c>
      <c r="E13" s="19">
        <f>LN(LN(1/(1-((D13-0.3)/(12+0.4)))))</f>
        <v/>
      </c>
      <c r="F13" s="19">
        <f>LN(C13)</f>
        <v/>
      </c>
    </row>
    <row r="14">
      <c r="A14" s="14" t="n"/>
      <c r="B14" s="16" t="inlineStr">
        <is>
          <t>Week6</t>
        </is>
      </c>
      <c r="C14" s="18">
        <f>'Risk Assesment(Cost Inflation)'!J8</f>
        <v/>
      </c>
      <c r="D14" s="29">
        <f>RANK(C14,C$9:C$20,1)</f>
        <v/>
      </c>
      <c r="E14" s="19">
        <f>LN(LN(1/(1-((D14-0.3)/(12+0.4)))))</f>
        <v/>
      </c>
      <c r="F14" s="19">
        <f>LN(C14)</f>
        <v/>
      </c>
      <c r="I14" s="30" t="inlineStr">
        <is>
          <t>Weibull (CDF) defines cumulative probability of risk occurrence at mean operating frequency</t>
        </is>
      </c>
    </row>
    <row r="15">
      <c r="A15" s="14" t="n"/>
      <c r="B15" s="16" t="inlineStr">
        <is>
          <t>Week7</t>
        </is>
      </c>
      <c r="C15" s="18">
        <f>'Risk Assesment(Cost Inflation)'!J9</f>
        <v/>
      </c>
      <c r="D15" s="29">
        <f>RANK(C15,C$9:C$20,1)</f>
        <v/>
      </c>
      <c r="E15" s="19">
        <f>LN(LN(1/(1-((D15-0.3)/(12+0.4)))))</f>
        <v/>
      </c>
      <c r="F15" s="19">
        <f>LN(C15)</f>
        <v/>
      </c>
    </row>
    <row r="16">
      <c r="A16" s="15" t="n"/>
      <c r="B16" s="16" t="inlineStr">
        <is>
          <t>Week8</t>
        </is>
      </c>
      <c r="C16" s="18">
        <f>'Risk Assesment(Cost Inflation)'!J10</f>
        <v/>
      </c>
      <c r="D16" s="29">
        <f>RANK(C16,C$9:C$20,1)</f>
        <v/>
      </c>
      <c r="E16" s="19">
        <f>LN(LN(1/(1-((D16-0.3)/(12+0.4)))))</f>
        <v/>
      </c>
      <c r="F16" s="19">
        <f>LN(C16)</f>
        <v/>
      </c>
    </row>
    <row r="17">
      <c r="A17" s="9" t="inlineStr">
        <is>
          <t>M3</t>
        </is>
      </c>
      <c r="B17" s="9" t="inlineStr">
        <is>
          <t>Week9</t>
        </is>
      </c>
      <c r="C17" s="12">
        <f>'Risk Assesment(Cost Inflation)'!J11</f>
        <v/>
      </c>
      <c r="D17" s="3">
        <f>RANK(C17,C$9:C$20,1)</f>
        <v/>
      </c>
      <c r="E17" s="13">
        <f>LN(LN(1/(1-((D17-0.3)/(12+0.4)))))</f>
        <v/>
      </c>
      <c r="F17" s="13">
        <f>LN(C17)</f>
        <v/>
      </c>
    </row>
    <row r="18">
      <c r="A18" s="14" t="n"/>
      <c r="B18" s="9" t="inlineStr">
        <is>
          <t>Week10</t>
        </is>
      </c>
      <c r="C18" s="12">
        <f>'Risk Assesment(Cost Inflation)'!J12</f>
        <v/>
      </c>
      <c r="D18" s="3">
        <f>RANK(C18,C$9:C$20,1)</f>
        <v/>
      </c>
      <c r="E18" s="13">
        <f>LN(LN(1/(1-((D18-0.3)/(12+0.4)))))</f>
        <v/>
      </c>
      <c r="F18" s="13">
        <f>LN(C18)</f>
        <v/>
      </c>
    </row>
    <row r="19">
      <c r="A19" s="14" t="n"/>
      <c r="B19" s="9" t="inlineStr">
        <is>
          <t>Week11</t>
        </is>
      </c>
      <c r="C19" s="12">
        <f>'Risk Assesment(Cost Inflation)'!J13</f>
        <v/>
      </c>
      <c r="D19" s="3">
        <f>RANK(C19,C$9:C$20,1)</f>
        <v/>
      </c>
      <c r="E19" s="13">
        <f>LN(LN(1/(1-((D19-0.3)/(12+0.4)))))</f>
        <v/>
      </c>
      <c r="F19" s="13">
        <f>LN(C19)</f>
        <v/>
      </c>
    </row>
    <row r="20">
      <c r="A20" s="15" t="n"/>
      <c r="B20" s="9" t="inlineStr">
        <is>
          <t>Week12</t>
        </is>
      </c>
      <c r="C20" s="12">
        <f>'Risk Assesment(Cost Inflation)'!J14</f>
        <v/>
      </c>
      <c r="D20" s="3">
        <f>RANK(C20,C$9:C$20,1)</f>
        <v/>
      </c>
      <c r="E20" s="13">
        <f>LN(LN(1/(1-((D20-0.3)/(12+0.4)))))</f>
        <v/>
      </c>
      <c r="F20" s="13">
        <f>LN(C20)</f>
        <v/>
      </c>
    </row>
    <row r="21">
      <c r="B21" s="31" t="inlineStr">
        <is>
          <t>EXPECTED</t>
        </is>
      </c>
      <c r="C21" s="32">
        <f>C23</f>
        <v/>
      </c>
    </row>
    <row r="23">
      <c r="B23" s="33" t="inlineStr">
        <is>
          <t>Expected Number of occurances using Weibull</t>
        </is>
      </c>
      <c r="C23" s="28">
        <f>EXP(((LN(-LN(1-85%)))/(J9))+(LN(J10)))</f>
        <v/>
      </c>
    </row>
    <row r="24">
      <c r="B24" s="33" t="inlineStr">
        <is>
          <t>Expected Number of occurances using Exponential</t>
        </is>
      </c>
      <c r="C24" s="34">
        <f>LN(1-75%)/(-1/M11)</f>
        <v/>
      </c>
    </row>
    <row r="26">
      <c r="B26" s="33" t="inlineStr">
        <is>
          <t>Standard Deviation</t>
        </is>
      </c>
      <c r="C26" s="34">
        <f>STDEVP(C9:C20)</f>
        <v/>
      </c>
    </row>
    <row r="27">
      <c r="B27" s="35" t="inlineStr">
        <is>
          <t>Action Limit (99%)</t>
        </is>
      </c>
      <c r="C27" s="36">
        <f>C23+(NORMSDIST(0.99)*(C26/SQRT(12)))</f>
        <v/>
      </c>
    </row>
    <row r="28">
      <c r="B28" s="33" t="inlineStr">
        <is>
          <t>Normal Limit (99%)</t>
        </is>
      </c>
      <c r="C28" s="34">
        <f>C23-(NORMSDIST(0.99)*(C26/SQRT(12)))</f>
        <v/>
      </c>
    </row>
    <row r="30">
      <c r="B30" s="77" t="inlineStr">
        <is>
          <t>📐 دليل المهندس لتحليل نتائج ومؤشرات وايبول الإحصائية (النمذجة الرياضية لموثوقية التكاليف وحساسية المشروعات لتقلبات التضخم):</t>
        </is>
      </c>
    </row>
    <row r="31" ht="115" customHeight="1">
      <c r="B31" s="72" t="inlineStr">
        <is>
          <t>1. التحويل الخطي لمخطط وايبول (Linearized Plot X &amp; Y):
   - تم تحويل دالة التوزيع التراكمي إلى معادلة خط مستقيم (Y = ln(C) مقابل X = ln(ln(1/(1-F)))) لتمكين استخراج الميل ونقطة التقاطع عبر دوال SLOPE و INTERCEPT.
2. معامل الشكل ومعدل الإخفاق (Weibull Slope α = 1/SLOPE):
   - القيمة المحسوبة (α &gt; 1) تؤكد هندسياً أن الخطر يمر بمرحلة 'الإخفاق المتسارع الناتج عن التقادم والضغط المستمر' (Wear-out failure rate). تراكم مستحقات المقاولين أو تأخر التوريد بيزيد من احتمالية توقف الأعمال بمعدل تصاعدي وليس عشوائياً.
3. معامل القياس المميز (Scale Parameter β = EXP(INTERCEPT)):
   - يمثل التردد المعتاد الذي يصل عنده الخطر لاحتمالية تراكمية تبلغ 63.2%.
4. الاحتمالية التراكمية عند متوسط التشغيل (Weibull CDF p):
   - النسبة المئوية الدقيقة لاحتمالية تحقق الخطر عند وصول المشروع لمتوسط تردد الحوادث الأسبوعي (Mean M11)، وتستخدم كمدخل أساسي لحساب درجة الخطر الكلية (Probability p).
5. حدود الضبط والتحكم الإحصائي (Action Limit @ 99% Confidence):
   - محسوبة وفق مبادئ الإحصاء الهندسي (μ + Z * σ / √N). إذا سجل أي أسبوع عدداً من الوقائع يتجاوز حد الإجراء (Action Limit)، فإن النظام يعتبر في حالة 'شذوذ تشغيلي حرج' (Process Out of Control) يفرض رفع تقرير عاجل للإدارة التنفيذية.</t>
        </is>
      </c>
      <c r="C31" s="58" t="n"/>
      <c r="D31" s="58" t="n"/>
      <c r="E31" s="58" t="n"/>
      <c r="F31" s="58" t="n"/>
      <c r="G31" s="58" t="n"/>
      <c r="H31" s="58" t="n"/>
      <c r="I31" s="58" t="n"/>
      <c r="J31" s="58" t="n"/>
      <c r="K31" s="58" t="n"/>
      <c r="L31" s="58" t="n"/>
      <c r="M31" s="59" t="n"/>
    </row>
    <row r="32">
      <c r="B32" s="64" t="n"/>
      <c r="M32" s="65" t="n"/>
    </row>
    <row r="33">
      <c r="B33" s="60" t="n"/>
      <c r="C33" s="61" t="n"/>
      <c r="D33" s="61" t="n"/>
      <c r="E33" s="61" t="n"/>
      <c r="F33" s="61" t="n"/>
      <c r="G33" s="61" t="n"/>
      <c r="H33" s="61" t="n"/>
      <c r="I33" s="61" t="n"/>
      <c r="J33" s="61" t="n"/>
      <c r="K33" s="61" t="n"/>
      <c r="L33" s="61" t="n"/>
      <c r="M33" s="62" t="n"/>
    </row>
  </sheetData>
  <mergeCells count="4">
    <mergeCell ref="A13:A16"/>
    <mergeCell ref="B31:M33"/>
    <mergeCell ref="A17:A20"/>
    <mergeCell ref="A9:A1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19"/>
  <sheetViews>
    <sheetView showGridLines="1" rightToLeft="1" workbookViewId="0">
      <selection activeCell="A1" sqref="A1"/>
    </sheetView>
  </sheetViews>
  <sheetFormatPr baseColWidth="8" defaultRowHeight="15" outlineLevelCol="0"/>
  <cols>
    <col width="8" customWidth="1" min="1" max="1"/>
    <col width="10" customWidth="1" min="2" max="2"/>
    <col width="25" customWidth="1" min="3" max="3"/>
    <col width="38" customWidth="1" min="4" max="4"/>
    <col width="6" customWidth="1" min="5" max="5"/>
    <col width="6" customWidth="1" min="6" max="6"/>
    <col width="6" customWidth="1" min="7" max="7"/>
    <col width="6" customWidth="1" min="8" max="8"/>
    <col width="6" customWidth="1" min="9" max="9"/>
    <col width="18" customWidth="1" min="10" max="10"/>
    <col width="16" customWidth="1" min="11" max="11"/>
  </cols>
  <sheetData>
    <row r="1">
      <c r="E1" s="7" t="inlineStr">
        <is>
          <t>Severity Of Risk (Scale 1 to 5)</t>
        </is>
      </c>
    </row>
    <row r="2" ht="24" customHeight="1">
      <c r="A2" s="8" t="inlineStr">
        <is>
          <t>Period</t>
        </is>
      </c>
      <c r="B2" s="8" t="inlineStr">
        <is>
          <t>Week</t>
        </is>
      </c>
      <c r="C2" s="8" t="inlineStr">
        <is>
          <t>Key Elements</t>
        </is>
      </c>
      <c r="D2" s="8" t="inlineStr">
        <is>
          <t>Risk</t>
        </is>
      </c>
      <c r="E2" s="8" t="inlineStr">
        <is>
          <t>1</t>
        </is>
      </c>
      <c r="F2" s="8" t="inlineStr">
        <is>
          <t>2</t>
        </is>
      </c>
      <c r="G2" s="8" t="inlineStr">
        <is>
          <t>3</t>
        </is>
      </c>
      <c r="H2" s="8" t="inlineStr">
        <is>
          <t>4</t>
        </is>
      </c>
      <c r="I2" s="8" t="inlineStr">
        <is>
          <t>5</t>
        </is>
      </c>
      <c r="J2" s="8" t="inlineStr">
        <is>
          <t>Number of occuraneces</t>
        </is>
      </c>
      <c r="K2" s="8" t="inlineStr">
        <is>
          <t>Likelihood</t>
        </is>
      </c>
    </row>
    <row r="3">
      <c r="A3" s="9" t="inlineStr">
        <is>
          <t>M1</t>
        </is>
      </c>
      <c r="B3" s="9" t="inlineStr">
        <is>
          <t>Week 1</t>
        </is>
      </c>
      <c r="C3" s="9" t="inlineStr">
        <is>
          <t>Artificial Lagoons &amp; Pumping</t>
        </is>
      </c>
      <c r="D3" s="10" t="inlineStr">
        <is>
          <t>Foreign exchange rate escalation (USD/EUR) on imported MEP electro-mechanical equipment &amp; lifecycle maintenance deficits</t>
        </is>
      </c>
      <c r="E3" s="11" t="inlineStr"/>
      <c r="F3" s="11" t="inlineStr"/>
      <c r="G3" s="11" t="inlineStr"/>
      <c r="H3" s="11" t="inlineStr"/>
      <c r="I3" s="11" t="inlineStr"/>
      <c r="J3" s="12" t="n">
        <v>7</v>
      </c>
      <c r="K3" s="13">
        <f>J3/J$15</f>
        <v/>
      </c>
    </row>
    <row r="4">
      <c r="A4" s="14" t="n"/>
      <c r="B4" s="9" t="inlineStr">
        <is>
          <t>Week 2</t>
        </is>
      </c>
      <c r="C4" s="14" t="n"/>
      <c r="D4" s="14" t="n"/>
      <c r="E4" s="11" t="inlineStr"/>
      <c r="F4" s="11" t="inlineStr"/>
      <c r="G4" s="11" t="inlineStr"/>
      <c r="H4" s="11" t="inlineStr"/>
      <c r="I4" s="11" t="inlineStr"/>
      <c r="J4" s="12" t="n">
        <v>9</v>
      </c>
      <c r="K4" s="13">
        <f>J4/J$15</f>
        <v/>
      </c>
    </row>
    <row r="5">
      <c r="A5" s="14" t="n"/>
      <c r="B5" s="9" t="inlineStr">
        <is>
          <t>Week 3</t>
        </is>
      </c>
      <c r="C5" s="14" t="n"/>
      <c r="D5" s="14" t="n"/>
      <c r="E5" s="11" t="inlineStr"/>
      <c r="F5" s="11" t="inlineStr"/>
      <c r="G5" s="11" t="inlineStr"/>
      <c r="H5" s="11" t="inlineStr"/>
      <c r="I5" s="11" t="inlineStr"/>
      <c r="J5" s="12" t="n">
        <v>6</v>
      </c>
      <c r="K5" s="13">
        <f>J5/J$15</f>
        <v/>
      </c>
    </row>
    <row r="6">
      <c r="A6" s="15" t="n"/>
      <c r="B6" s="9" t="inlineStr">
        <is>
          <t>Week 4</t>
        </is>
      </c>
      <c r="C6" s="14" t="n"/>
      <c r="D6" s="14" t="n"/>
      <c r="E6" s="11" t="inlineStr"/>
      <c r="F6" s="11" t="inlineStr"/>
      <c r="G6" s="11" t="inlineStr"/>
      <c r="H6" s="11" t="inlineStr"/>
      <c r="I6" s="11" t="inlineStr"/>
      <c r="J6" s="12" t="n">
        <v>11</v>
      </c>
      <c r="K6" s="13">
        <f>J6/J$15</f>
        <v/>
      </c>
    </row>
    <row r="7">
      <c r="A7" s="16" t="inlineStr">
        <is>
          <t>M2</t>
        </is>
      </c>
      <c r="B7" s="16" t="inlineStr">
        <is>
          <t>Week 1</t>
        </is>
      </c>
      <c r="C7" s="14" t="n"/>
      <c r="D7" s="14" t="n"/>
      <c r="E7" s="17" t="inlineStr"/>
      <c r="F7" s="17" t="inlineStr"/>
      <c r="G7" s="17" t="inlineStr"/>
      <c r="H7" s="17" t="inlineStr"/>
      <c r="I7" s="17" t="inlineStr"/>
      <c r="J7" s="18" t="n">
        <v>8</v>
      </c>
      <c r="K7" s="19">
        <f>J7/J$15</f>
        <v/>
      </c>
    </row>
    <row r="8">
      <c r="A8" s="14" t="n"/>
      <c r="B8" s="16" t="inlineStr">
        <is>
          <t>Week 2</t>
        </is>
      </c>
      <c r="C8" s="14" t="n"/>
      <c r="D8" s="14" t="n"/>
      <c r="E8" s="17" t="inlineStr"/>
      <c r="F8" s="17" t="inlineStr"/>
      <c r="G8" s="17" t="inlineStr"/>
      <c r="H8" s="17" t="inlineStr"/>
      <c r="I8" s="17" t="inlineStr"/>
      <c r="J8" s="18" t="n">
        <v>12</v>
      </c>
      <c r="K8" s="19">
        <f>J8/J$15</f>
        <v/>
      </c>
    </row>
    <row r="9">
      <c r="A9" s="14" t="n"/>
      <c r="B9" s="16" t="inlineStr">
        <is>
          <t>Week 3</t>
        </is>
      </c>
      <c r="C9" s="14" t="n"/>
      <c r="D9" s="14" t="n"/>
      <c r="E9" s="17" t="inlineStr"/>
      <c r="F9" s="17" t="inlineStr"/>
      <c r="G9" s="17" t="inlineStr"/>
      <c r="H9" s="17" t="inlineStr"/>
      <c r="I9" s="17" t="inlineStr"/>
      <c r="J9" s="18" t="n">
        <v>10</v>
      </c>
      <c r="K9" s="19">
        <f>J9/J$15</f>
        <v/>
      </c>
    </row>
    <row r="10">
      <c r="A10" s="15" t="n"/>
      <c r="B10" s="16" t="inlineStr">
        <is>
          <t>Week 4</t>
        </is>
      </c>
      <c r="C10" s="14" t="n"/>
      <c r="D10" s="14" t="n"/>
      <c r="E10" s="17" t="inlineStr"/>
      <c r="F10" s="17" t="inlineStr"/>
      <c r="G10" s="17" t="inlineStr"/>
      <c r="H10" s="17" t="inlineStr"/>
      <c r="I10" s="17" t="inlineStr"/>
      <c r="J10" s="18" t="n">
        <v>14</v>
      </c>
      <c r="K10" s="19">
        <f>J10/J$15</f>
        <v/>
      </c>
    </row>
    <row r="11">
      <c r="A11" s="9" t="inlineStr">
        <is>
          <t>M3</t>
        </is>
      </c>
      <c r="B11" s="9" t="inlineStr">
        <is>
          <t>Week 1</t>
        </is>
      </c>
      <c r="C11" s="14" t="n"/>
      <c r="D11" s="14" t="n"/>
      <c r="E11" s="11" t="inlineStr"/>
      <c r="F11" s="11" t="inlineStr"/>
      <c r="G11" s="11" t="inlineStr"/>
      <c r="H11" s="11" t="inlineStr"/>
      <c r="I11" s="11" t="inlineStr"/>
      <c r="J11" s="12" t="n">
        <v>9</v>
      </c>
      <c r="K11" s="13">
        <f>J11/J$15</f>
        <v/>
      </c>
    </row>
    <row r="12">
      <c r="A12" s="14" t="n"/>
      <c r="B12" s="9" t="inlineStr">
        <is>
          <t>Week 2</t>
        </is>
      </c>
      <c r="C12" s="14" t="n"/>
      <c r="D12" s="14" t="n"/>
      <c r="E12" s="11" t="inlineStr"/>
      <c r="F12" s="11" t="inlineStr"/>
      <c r="G12" s="11" t="inlineStr"/>
      <c r="H12" s="11" t="inlineStr"/>
      <c r="I12" s="11" t="inlineStr"/>
      <c r="J12" s="12" t="n">
        <v>13</v>
      </c>
      <c r="K12" s="13">
        <f>J12/J$15</f>
        <v/>
      </c>
    </row>
    <row r="13">
      <c r="A13" s="14" t="n"/>
      <c r="B13" s="9" t="inlineStr">
        <is>
          <t>Week 3</t>
        </is>
      </c>
      <c r="C13" s="14" t="n"/>
      <c r="D13" s="14" t="n"/>
      <c r="E13" s="11" t="inlineStr"/>
      <c r="F13" s="11" t="inlineStr"/>
      <c r="G13" s="11" t="inlineStr"/>
      <c r="H13" s="11" t="inlineStr"/>
      <c r="I13" s="11" t="inlineStr"/>
      <c r="J13" s="12" t="n">
        <v>11</v>
      </c>
      <c r="K13" s="13">
        <f>J13/J$15</f>
        <v/>
      </c>
    </row>
    <row r="14">
      <c r="A14" s="15" t="n"/>
      <c r="B14" s="9" t="inlineStr">
        <is>
          <t>Week 4</t>
        </is>
      </c>
      <c r="C14" s="15" t="n"/>
      <c r="D14" s="15" t="n"/>
      <c r="E14" s="11" t="inlineStr"/>
      <c r="F14" s="11" t="inlineStr"/>
      <c r="G14" s="11" t="inlineStr"/>
      <c r="H14" s="11" t="inlineStr"/>
      <c r="I14" s="11" t="inlineStr"/>
      <c r="J14" s="12" t="n">
        <v>8</v>
      </c>
      <c r="K14" s="13">
        <f>J14/J$15</f>
        <v/>
      </c>
    </row>
    <row r="15">
      <c r="I15" s="20" t="inlineStr">
        <is>
          <t>Total / Disp:</t>
        </is>
      </c>
      <c r="J15" s="21">
        <f>SUM(J3:J14)</f>
        <v/>
      </c>
      <c r="K15" s="22">
        <f>AVEDEV(K3:K14)</f>
        <v/>
      </c>
    </row>
    <row r="17">
      <c r="A17" s="77" t="inlineStr">
        <is>
          <t>📘 التوجيه الهندسي لقراءة السجل: سجل الرصد الأسبوعي لتوريدات الأعمال الكهروميكانيكية ومعدات البحيرات (Water &amp; Lagoon MEP Infrastructure)</t>
        </is>
      </c>
    </row>
    <row r="18" ht="70" customHeight="1">
      <c r="A18" s="70" t="inlineStr">
        <is>
          <t>• السياق الهندسي: رصد أسبوعي للتأخيرات اللوجستية، واضطرابات فتح الاعتمادات المستندية، وتغيرات أسعار الصرف المرتبطة بمعدات محطات الرفع والفلاتر والبحيرات المستوردة.
• عمود عدد التكرارات (Column J - Occurrences): عدد وقائع النزاع أو الشكاوى أو مذكرات التأخير المسجلة رسمياً خلال كل أسبوع تعاقدي.
• عمود الاحتمالية النسبية (Column K - Relative Likelihood): النسبة المئوية للمشكلة في ذلك الأسبوع مقارنة بإجمالي الوقائع المسجلة خلال الربع السنوي (J/Total).
• خلية التشتت الإحصائي (Cell K15 - AVEDEV): حساب متوسط الانحراف المطلق (Average Absolute Deviation). رياضياً: الرقم ده بيقيس مدى تذبذب واستقرار معدل حدوث المشكلة أسبوعياً، وبيشكل مدخل معامل الاحتمالية (Likelihood L) في التقييم النهائي.</t>
        </is>
      </c>
      <c r="B18" s="58" t="n"/>
      <c r="C18" s="58" t="n"/>
      <c r="D18" s="58" t="n"/>
      <c r="E18" s="58" t="n"/>
      <c r="F18" s="58" t="n"/>
      <c r="G18" s="58" t="n"/>
      <c r="H18" s="58" t="n"/>
      <c r="I18" s="58" t="n"/>
      <c r="J18" s="58" t="n"/>
      <c r="K18" s="59" t="n"/>
    </row>
    <row r="19">
      <c r="A19" s="63" t="n"/>
      <c r="B19" s="61" t="n"/>
      <c r="C19" s="61" t="n"/>
      <c r="D19" s="61" t="n"/>
      <c r="E19" s="61" t="n"/>
      <c r="F19" s="61" t="n"/>
      <c r="G19" s="61" t="n"/>
      <c r="H19" s="61" t="n"/>
      <c r="I19" s="61" t="n"/>
      <c r="J19" s="61" t="n"/>
      <c r="K19" s="62" t="n"/>
    </row>
  </sheetData>
  <mergeCells count="7">
    <mergeCell ref="A7:A10"/>
    <mergeCell ref="D3:D14"/>
    <mergeCell ref="A3:A6"/>
    <mergeCell ref="C3:C14"/>
    <mergeCell ref="E1:I1"/>
    <mergeCell ref="A11:A14"/>
    <mergeCell ref="A18:K19"/>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2:M33"/>
  <sheetViews>
    <sheetView showGridLines="1" rightToLeft="1" workbookViewId="0">
      <selection activeCell="A1" sqref="A1"/>
    </sheetView>
  </sheetViews>
  <sheetFormatPr baseColWidth="8" defaultRowHeight="15" outlineLevelCol="0"/>
  <cols>
    <col width="8" customWidth="1" min="1" max="1"/>
    <col width="12" customWidth="1" min="2" max="2"/>
    <col width="20" customWidth="1" min="3" max="3"/>
    <col width="10" customWidth="1" min="4" max="4"/>
    <col width="16" customWidth="1" min="5" max="5"/>
    <col width="16" customWidth="1" min="6" max="6"/>
    <col width="6" customWidth="1" min="7" max="7"/>
    <col width="6" customWidth="1" min="8" max="8"/>
    <col width="28" customWidth="1" min="9" max="9"/>
    <col width="20" customWidth="1" min="10" max="10"/>
    <col width="16" customWidth="1" min="11" max="11"/>
    <col width="6" customWidth="1" min="12" max="12"/>
    <col width="20" customWidth="1" min="13" max="13"/>
  </cols>
  <sheetData>
    <row r="2">
      <c r="B2" s="23" t="inlineStr">
        <is>
          <t>Weibull Reliability &amp; Occurrence Modelling: Lagoon &amp; Water Features MEP</t>
        </is>
      </c>
    </row>
    <row r="7">
      <c r="C7" s="24" t="inlineStr">
        <is>
          <t>X</t>
        </is>
      </c>
      <c r="D7" s="24" t="inlineStr">
        <is>
          <t>Step1</t>
        </is>
      </c>
      <c r="E7" s="24" t="inlineStr">
        <is>
          <t>Step2</t>
        </is>
      </c>
      <c r="F7" s="24" t="inlineStr">
        <is>
          <t>Step3</t>
        </is>
      </c>
    </row>
    <row r="8" ht="24" customHeight="1">
      <c r="B8" s="2" t="inlineStr">
        <is>
          <t>Weeks</t>
        </is>
      </c>
      <c r="C8" s="2" t="inlineStr">
        <is>
          <t>Number of occurances</t>
        </is>
      </c>
      <c r="D8" s="2" t="inlineStr">
        <is>
          <t>Rank</t>
        </is>
      </c>
      <c r="E8" s="2" t="inlineStr">
        <is>
          <t>X-axis</t>
        </is>
      </c>
      <c r="F8" s="2" t="inlineStr">
        <is>
          <t>Y-axis</t>
        </is>
      </c>
      <c r="I8" s="2" t="inlineStr">
        <is>
          <t>Excel Weibull function</t>
        </is>
      </c>
      <c r="J8" s="2" t="inlineStr">
        <is>
          <t>Parameter / Value</t>
        </is>
      </c>
      <c r="K8" s="2" t="inlineStr">
        <is>
          <t>Calculation Step</t>
        </is>
      </c>
      <c r="M8" s="2" t="inlineStr">
        <is>
          <t>Statistical Metrics</t>
        </is>
      </c>
    </row>
    <row r="9">
      <c r="A9" s="9" t="inlineStr">
        <is>
          <t>M1</t>
        </is>
      </c>
      <c r="B9" s="9" t="inlineStr">
        <is>
          <t>Week1</t>
        </is>
      </c>
      <c r="C9" s="12">
        <f>'Risk Assesment(Water &amp; Lagoon)'!J3</f>
        <v/>
      </c>
      <c r="D9" s="3">
        <f>RANK(C9,C$9:C$20,1)</f>
        <v/>
      </c>
      <c r="E9" s="13">
        <f>LN(LN(1/(1-((D9-0.3)/(12+0.4)))))</f>
        <v/>
      </c>
      <c r="F9" s="13">
        <f>LN(C9)</f>
        <v/>
      </c>
      <c r="I9" s="25" t="inlineStr">
        <is>
          <t>Weibull Slope α</t>
        </is>
      </c>
      <c r="J9" s="26">
        <f>1/SLOPE(F9:F20,E9:E20)</f>
        <v/>
      </c>
      <c r="K9" s="9" t="inlineStr">
        <is>
          <t>Step4</t>
        </is>
      </c>
    </row>
    <row r="10">
      <c r="A10" s="14" t="n"/>
      <c r="B10" s="9" t="inlineStr">
        <is>
          <t>Week2</t>
        </is>
      </c>
      <c r="C10" s="12">
        <f>'Risk Assesment(Water &amp; Lagoon)'!J4</f>
        <v/>
      </c>
      <c r="D10" s="3">
        <f>RANK(C10,C$9:C$20,1)</f>
        <v/>
      </c>
      <c r="E10" s="13">
        <f>LN(LN(1/(1-((D10-0.3)/(12+0.4)))))</f>
        <v/>
      </c>
      <c r="F10" s="13">
        <f>LN(C10)</f>
        <v/>
      </c>
      <c r="I10" s="25" t="inlineStr">
        <is>
          <t>Scale Parameter β</t>
        </is>
      </c>
      <c r="J10" s="26">
        <f>EXP(INTERCEPT(F9:F20,E9:E20))</f>
        <v/>
      </c>
      <c r="K10" s="9" t="inlineStr">
        <is>
          <t>Step5</t>
        </is>
      </c>
      <c r="M10" s="25" t="inlineStr">
        <is>
          <t>Mean (average)</t>
        </is>
      </c>
    </row>
    <row r="11">
      <c r="A11" s="14" t="n"/>
      <c r="B11" s="9" t="inlineStr">
        <is>
          <t>Week3</t>
        </is>
      </c>
      <c r="C11" s="12">
        <f>'Risk Assesment(Water &amp; Lagoon)'!J5</f>
        <v/>
      </c>
      <c r="D11" s="3">
        <f>RANK(C11,C$9:C$20,1)</f>
        <v/>
      </c>
      <c r="E11" s="13">
        <f>LN(LN(1/(1-((D11-0.3)/(12+0.4)))))</f>
        <v/>
      </c>
      <c r="F11" s="13">
        <f>LN(C11)</f>
        <v/>
      </c>
      <c r="I11" s="25" t="inlineStr">
        <is>
          <t>Weibull, CDF (Cumulative P)</t>
        </is>
      </c>
      <c r="J11" s="27">
        <f>1-EXP(-((M11/J10)^J9))</f>
        <v/>
      </c>
      <c r="K11" s="9" t="inlineStr">
        <is>
          <t>Step6</t>
        </is>
      </c>
      <c r="M11" s="28">
        <f>AVERAGE(C9:C20)</f>
        <v/>
      </c>
    </row>
    <row r="12">
      <c r="A12" s="15" t="n"/>
      <c r="B12" s="9" t="inlineStr">
        <is>
          <t>Week4</t>
        </is>
      </c>
      <c r="C12" s="12">
        <f>'Risk Assesment(Water &amp; Lagoon)'!J6</f>
        <v/>
      </c>
      <c r="D12" s="3">
        <f>RANK(C12,C$9:C$20,1)</f>
        <v/>
      </c>
      <c r="E12" s="13">
        <f>LN(LN(1/(1-((D12-0.3)/(12+0.4)))))</f>
        <v/>
      </c>
      <c r="F12" s="13">
        <f>LN(C12)</f>
        <v/>
      </c>
    </row>
    <row r="13">
      <c r="A13" s="16" t="inlineStr">
        <is>
          <t>M2</t>
        </is>
      </c>
      <c r="B13" s="16" t="inlineStr">
        <is>
          <t>Week5</t>
        </is>
      </c>
      <c r="C13" s="18">
        <f>'Risk Assesment(Water &amp; Lagoon)'!J7</f>
        <v/>
      </c>
      <c r="D13" s="29">
        <f>RANK(C13,C$9:C$20,1)</f>
        <v/>
      </c>
      <c r="E13" s="19">
        <f>LN(LN(1/(1-((D13-0.3)/(12+0.4)))))</f>
        <v/>
      </c>
      <c r="F13" s="19">
        <f>LN(C13)</f>
        <v/>
      </c>
    </row>
    <row r="14">
      <c r="A14" s="14" t="n"/>
      <c r="B14" s="16" t="inlineStr">
        <is>
          <t>Week6</t>
        </is>
      </c>
      <c r="C14" s="18">
        <f>'Risk Assesment(Water &amp; Lagoon)'!J8</f>
        <v/>
      </c>
      <c r="D14" s="29">
        <f>RANK(C14,C$9:C$20,1)</f>
        <v/>
      </c>
      <c r="E14" s="19">
        <f>LN(LN(1/(1-((D14-0.3)/(12+0.4)))))</f>
        <v/>
      </c>
      <c r="F14" s="19">
        <f>LN(C14)</f>
        <v/>
      </c>
      <c r="I14" s="30" t="inlineStr">
        <is>
          <t>Weibull (CDF) defines cumulative probability of risk occurrence at mean operating frequency</t>
        </is>
      </c>
    </row>
    <row r="15">
      <c r="A15" s="14" t="n"/>
      <c r="B15" s="16" t="inlineStr">
        <is>
          <t>Week7</t>
        </is>
      </c>
      <c r="C15" s="18">
        <f>'Risk Assesment(Water &amp; Lagoon)'!J9</f>
        <v/>
      </c>
      <c r="D15" s="29">
        <f>RANK(C15,C$9:C$20,1)</f>
        <v/>
      </c>
      <c r="E15" s="19">
        <f>LN(LN(1/(1-((D15-0.3)/(12+0.4)))))</f>
        <v/>
      </c>
      <c r="F15" s="19">
        <f>LN(C15)</f>
        <v/>
      </c>
    </row>
    <row r="16">
      <c r="A16" s="15" t="n"/>
      <c r="B16" s="16" t="inlineStr">
        <is>
          <t>Week8</t>
        </is>
      </c>
      <c r="C16" s="18">
        <f>'Risk Assesment(Water &amp; Lagoon)'!J10</f>
        <v/>
      </c>
      <c r="D16" s="29">
        <f>RANK(C16,C$9:C$20,1)</f>
        <v/>
      </c>
      <c r="E16" s="19">
        <f>LN(LN(1/(1-((D16-0.3)/(12+0.4)))))</f>
        <v/>
      </c>
      <c r="F16" s="19">
        <f>LN(C16)</f>
        <v/>
      </c>
    </row>
    <row r="17">
      <c r="A17" s="9" t="inlineStr">
        <is>
          <t>M3</t>
        </is>
      </c>
      <c r="B17" s="9" t="inlineStr">
        <is>
          <t>Week9</t>
        </is>
      </c>
      <c r="C17" s="12">
        <f>'Risk Assesment(Water &amp; Lagoon)'!J11</f>
        <v/>
      </c>
      <c r="D17" s="3">
        <f>RANK(C17,C$9:C$20,1)</f>
        <v/>
      </c>
      <c r="E17" s="13">
        <f>LN(LN(1/(1-((D17-0.3)/(12+0.4)))))</f>
        <v/>
      </c>
      <c r="F17" s="13">
        <f>LN(C17)</f>
        <v/>
      </c>
    </row>
    <row r="18">
      <c r="A18" s="14" t="n"/>
      <c r="B18" s="9" t="inlineStr">
        <is>
          <t>Week10</t>
        </is>
      </c>
      <c r="C18" s="12">
        <f>'Risk Assesment(Water &amp; Lagoon)'!J12</f>
        <v/>
      </c>
      <c r="D18" s="3">
        <f>RANK(C18,C$9:C$20,1)</f>
        <v/>
      </c>
      <c r="E18" s="13">
        <f>LN(LN(1/(1-((D18-0.3)/(12+0.4)))))</f>
        <v/>
      </c>
      <c r="F18" s="13">
        <f>LN(C18)</f>
        <v/>
      </c>
    </row>
    <row r="19">
      <c r="A19" s="14" t="n"/>
      <c r="B19" s="9" t="inlineStr">
        <is>
          <t>Week11</t>
        </is>
      </c>
      <c r="C19" s="12">
        <f>'Risk Assesment(Water &amp; Lagoon)'!J13</f>
        <v/>
      </c>
      <c r="D19" s="3">
        <f>RANK(C19,C$9:C$20,1)</f>
        <v/>
      </c>
      <c r="E19" s="13">
        <f>LN(LN(1/(1-((D19-0.3)/(12+0.4)))))</f>
        <v/>
      </c>
      <c r="F19" s="13">
        <f>LN(C19)</f>
        <v/>
      </c>
    </row>
    <row r="20">
      <c r="A20" s="15" t="n"/>
      <c r="B20" s="9" t="inlineStr">
        <is>
          <t>Week12</t>
        </is>
      </c>
      <c r="C20" s="12">
        <f>'Risk Assesment(Water &amp; Lagoon)'!J14</f>
        <v/>
      </c>
      <c r="D20" s="3">
        <f>RANK(C20,C$9:C$20,1)</f>
        <v/>
      </c>
      <c r="E20" s="13">
        <f>LN(LN(1/(1-((D20-0.3)/(12+0.4)))))</f>
        <v/>
      </c>
      <c r="F20" s="13">
        <f>LN(C20)</f>
        <v/>
      </c>
    </row>
    <row r="21">
      <c r="B21" s="31" t="inlineStr">
        <is>
          <t>EXPECTED</t>
        </is>
      </c>
      <c r="C21" s="32">
        <f>C23</f>
        <v/>
      </c>
    </row>
    <row r="23">
      <c r="B23" s="33" t="inlineStr">
        <is>
          <t>Expected Number of occurances using Weibull</t>
        </is>
      </c>
      <c r="C23" s="28">
        <f>EXP(((LN(-LN(1-82%)))/(J9))+(LN(J10)))</f>
        <v/>
      </c>
    </row>
    <row r="24">
      <c r="B24" s="33" t="inlineStr">
        <is>
          <t>Expected Number of occurances using Exponential</t>
        </is>
      </c>
      <c r="C24" s="34">
        <f>LN(1-75%)/(-1/M11)</f>
        <v/>
      </c>
    </row>
    <row r="26">
      <c r="B26" s="33" t="inlineStr">
        <is>
          <t>Standard Deviation</t>
        </is>
      </c>
      <c r="C26" s="34">
        <f>STDEVP(C9:C20)</f>
        <v/>
      </c>
    </row>
    <row r="27">
      <c r="B27" s="35" t="inlineStr">
        <is>
          <t>Action Limit (99%)</t>
        </is>
      </c>
      <c r="C27" s="36">
        <f>C23+(NORMSDIST(0.99)*(C26/SQRT(12)))</f>
        <v/>
      </c>
    </row>
    <row r="28">
      <c r="B28" s="33" t="inlineStr">
        <is>
          <t>Normal Limit (99%)</t>
        </is>
      </c>
      <c r="C28" s="34">
        <f>C23-(NORMSDIST(0.99)*(C26/SQRT(12)))</f>
        <v/>
      </c>
    </row>
    <row r="30">
      <c r="B30" s="77" t="inlineStr">
        <is>
          <t>📐 دليل المهندس لتحليل نتائج ومؤشرات وايبول الإحصائية (النمذجة الرياضية لاحتمالات تعطل سلاسل إمداد ومعدات البحيرات ومحطات MEP):</t>
        </is>
      </c>
    </row>
    <row r="31" ht="115" customHeight="1">
      <c r="B31" s="72" t="inlineStr">
        <is>
          <t>1. التحويل الخطي لمخطط وايبول (Linearized Plot X &amp; Y):
   - تم تحويل دالة التوزيع التراكمي إلى معادلة خط مستقيم (Y = ln(C) مقابل X = ln(ln(1/(1-F)))) لتمكين استخراج الميل ونقطة التقاطع عبر دوال SLOPE و INTERCEPT.
2. معامل الشكل ومعدل الإخفاق (Weibull Slope α = 1/SLOPE):
   - القيمة المحسوبة (α &gt; 1) تؤكد هندسياً أن الخطر يمر بمرحلة 'الإخفاق المتسارع الناتج عن التقادم والضغط المستمر' (Wear-out failure rate). تراكم مستحقات المقاولين أو تأخر التوريد بيزيد من احتمالية توقف الأعمال بمعدل تصاعدي وليس عشوائياً.
3. معامل القياس المميز (Scale Parameter β = EXP(INTERCEPT)):
   - يمثل التردد المعتاد الذي يصل عنده الخطر لاحتمالية تراكمية تبلغ 63.2%.
4. الاحتمالية التراكمية عند متوسط التشغيل (Weibull CDF p):
   - النسبة المئوية الدقيقة لاحتمالية تحقق الخطر عند وصول المشروع لمتوسط تردد الحوادث الأسبوعي (Mean M11)، وتستخدم كمدخل أساسي لحساب درجة الخطر الكلية (Probability p).
5. حدود الضبط والتحكم الإحصائي (Action Limit @ 99% Confidence):
   - محسوبة وفق مبادئ الإحصاء الهندسي (μ + Z * σ / √N). إذا سجل أي أسبوع عدداً من الوقائع يتجاوز حد الإجراء (Action Limit)، فإن النظام يعتبر في حالة 'شذوذ تشغيلي حرج' (Process Out of Control) يفرض رفع تقرير عاجل للإدارة التنفيذية.</t>
        </is>
      </c>
      <c r="C31" s="58" t="n"/>
      <c r="D31" s="58" t="n"/>
      <c r="E31" s="58" t="n"/>
      <c r="F31" s="58" t="n"/>
      <c r="G31" s="58" t="n"/>
      <c r="H31" s="58" t="n"/>
      <c r="I31" s="58" t="n"/>
      <c r="J31" s="58" t="n"/>
      <c r="K31" s="58" t="n"/>
      <c r="L31" s="58" t="n"/>
      <c r="M31" s="59" t="n"/>
    </row>
    <row r="32">
      <c r="B32" s="64" t="n"/>
      <c r="M32" s="65" t="n"/>
    </row>
    <row r="33">
      <c r="B33" s="60" t="n"/>
      <c r="C33" s="61" t="n"/>
      <c r="D33" s="61" t="n"/>
      <c r="E33" s="61" t="n"/>
      <c r="F33" s="61" t="n"/>
      <c r="G33" s="61" t="n"/>
      <c r="H33" s="61" t="n"/>
      <c r="I33" s="61" t="n"/>
      <c r="J33" s="61" t="n"/>
      <c r="K33" s="61" t="n"/>
      <c r="L33" s="61" t="n"/>
      <c r="M33" s="62" t="n"/>
    </row>
  </sheetData>
  <mergeCells count="4">
    <mergeCell ref="A13:A16"/>
    <mergeCell ref="B31:M33"/>
    <mergeCell ref="A17:A20"/>
    <mergeCell ref="A9:A1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19"/>
  <sheetViews>
    <sheetView showGridLines="1" rightToLeft="1" workbookViewId="0">
      <selection activeCell="A1" sqref="A1"/>
    </sheetView>
  </sheetViews>
  <sheetFormatPr baseColWidth="8" defaultRowHeight="15" outlineLevelCol="0"/>
  <cols>
    <col width="8" customWidth="1" min="1" max="1"/>
    <col width="10" customWidth="1" min="2" max="2"/>
    <col width="25" customWidth="1" min="3" max="3"/>
    <col width="38" customWidth="1" min="4" max="4"/>
    <col width="6" customWidth="1" min="5" max="5"/>
    <col width="6" customWidth="1" min="6" max="6"/>
    <col width="6" customWidth="1" min="7" max="7"/>
    <col width="6" customWidth="1" min="8" max="8"/>
    <col width="6" customWidth="1" min="9" max="9"/>
    <col width="18" customWidth="1" min="10" max="10"/>
    <col width="16" customWidth="1" min="11" max="11"/>
  </cols>
  <sheetData>
    <row r="1">
      <c r="E1" s="7" t="inlineStr">
        <is>
          <t>Severity Of Risk (Scale 1 to 5)</t>
        </is>
      </c>
    </row>
    <row r="2" ht="24" customHeight="1">
      <c r="A2" s="8" t="inlineStr">
        <is>
          <t>Period</t>
        </is>
      </c>
      <c r="B2" s="8" t="inlineStr">
        <is>
          <t>Week</t>
        </is>
      </c>
      <c r="C2" s="8" t="inlineStr">
        <is>
          <t>Key Elements</t>
        </is>
      </c>
      <c r="D2" s="8" t="inlineStr">
        <is>
          <t>Risk</t>
        </is>
      </c>
      <c r="E2" s="8" t="inlineStr">
        <is>
          <t>1</t>
        </is>
      </c>
      <c r="F2" s="8" t="inlineStr">
        <is>
          <t>2</t>
        </is>
      </c>
      <c r="G2" s="8" t="inlineStr">
        <is>
          <t>3</t>
        </is>
      </c>
      <c r="H2" s="8" t="inlineStr">
        <is>
          <t>4</t>
        </is>
      </c>
      <c r="I2" s="8" t="inlineStr">
        <is>
          <t>5</t>
        </is>
      </c>
      <c r="J2" s="8" t="inlineStr">
        <is>
          <t>Number of occuraneces</t>
        </is>
      </c>
      <c r="K2" s="8" t="inlineStr">
        <is>
          <t>Likelihood</t>
        </is>
      </c>
    </row>
    <row r="3">
      <c r="A3" s="9" t="inlineStr">
        <is>
          <t>M1</t>
        </is>
      </c>
      <c r="B3" s="9" t="inlineStr">
        <is>
          <t>Week 1</t>
        </is>
      </c>
      <c r="C3" s="9" t="inlineStr">
        <is>
          <t>Subcontractor Labor &amp; Execution</t>
        </is>
      </c>
      <c r="D3" s="10" t="inlineStr">
        <is>
          <t>Work stoppages, labor strikes, and police/regulatory intervention stemming from delayed subcontractor payroll</t>
        </is>
      </c>
      <c r="E3" s="11" t="inlineStr"/>
      <c r="F3" s="11" t="inlineStr"/>
      <c r="G3" s="11" t="inlineStr"/>
      <c r="H3" s="11" t="inlineStr"/>
      <c r="I3" s="11" t="inlineStr"/>
      <c r="J3" s="12" t="n">
        <v>5</v>
      </c>
      <c r="K3" s="13">
        <f>J3/J$15</f>
        <v/>
      </c>
    </row>
    <row r="4">
      <c r="A4" s="14" t="n"/>
      <c r="B4" s="9" t="inlineStr">
        <is>
          <t>Week 2</t>
        </is>
      </c>
      <c r="C4" s="14" t="n"/>
      <c r="D4" s="14" t="n"/>
      <c r="E4" s="11" t="inlineStr"/>
      <c r="F4" s="11" t="inlineStr"/>
      <c r="G4" s="11" t="inlineStr"/>
      <c r="H4" s="11" t="inlineStr"/>
      <c r="I4" s="11" t="inlineStr"/>
      <c r="J4" s="12" t="n">
        <v>7</v>
      </c>
      <c r="K4" s="13">
        <f>J4/J$15</f>
        <v/>
      </c>
    </row>
    <row r="5">
      <c r="A5" s="14" t="n"/>
      <c r="B5" s="9" t="inlineStr">
        <is>
          <t>Week 3</t>
        </is>
      </c>
      <c r="C5" s="14" t="n"/>
      <c r="D5" s="14" t="n"/>
      <c r="E5" s="11" t="inlineStr"/>
      <c r="F5" s="11" t="inlineStr"/>
      <c r="G5" s="11" t="inlineStr"/>
      <c r="H5" s="11" t="inlineStr"/>
      <c r="I5" s="11" t="inlineStr"/>
      <c r="J5" s="12" t="n">
        <v>8</v>
      </c>
      <c r="K5" s="13">
        <f>J5/J$15</f>
        <v/>
      </c>
    </row>
    <row r="6">
      <c r="A6" s="15" t="n"/>
      <c r="B6" s="9" t="inlineStr">
        <is>
          <t>Week 4</t>
        </is>
      </c>
      <c r="C6" s="14" t="n"/>
      <c r="D6" s="14" t="n"/>
      <c r="E6" s="11" t="inlineStr"/>
      <c r="F6" s="11" t="inlineStr"/>
      <c r="G6" s="11" t="inlineStr"/>
      <c r="H6" s="11" t="inlineStr"/>
      <c r="I6" s="11" t="inlineStr"/>
      <c r="J6" s="12" t="n">
        <v>4</v>
      </c>
      <c r="K6" s="13">
        <f>J6/J$15</f>
        <v/>
      </c>
    </row>
    <row r="7">
      <c r="A7" s="16" t="inlineStr">
        <is>
          <t>M2</t>
        </is>
      </c>
      <c r="B7" s="16" t="inlineStr">
        <is>
          <t>Week 1</t>
        </is>
      </c>
      <c r="C7" s="14" t="n"/>
      <c r="D7" s="14" t="n"/>
      <c r="E7" s="17" t="inlineStr"/>
      <c r="F7" s="17" t="inlineStr"/>
      <c r="G7" s="17" t="inlineStr"/>
      <c r="H7" s="17" t="inlineStr"/>
      <c r="I7" s="17" t="inlineStr"/>
      <c r="J7" s="18" t="n">
        <v>6</v>
      </c>
      <c r="K7" s="19">
        <f>J7/J$15</f>
        <v/>
      </c>
    </row>
    <row r="8">
      <c r="A8" s="14" t="n"/>
      <c r="B8" s="16" t="inlineStr">
        <is>
          <t>Week 2</t>
        </is>
      </c>
      <c r="C8" s="14" t="n"/>
      <c r="D8" s="14" t="n"/>
      <c r="E8" s="17" t="inlineStr"/>
      <c r="F8" s="17" t="inlineStr"/>
      <c r="G8" s="17" t="inlineStr"/>
      <c r="H8" s="17" t="inlineStr"/>
      <c r="I8" s="17" t="inlineStr"/>
      <c r="J8" s="18" t="n">
        <v>5</v>
      </c>
      <c r="K8" s="19">
        <f>J8/J$15</f>
        <v/>
      </c>
    </row>
    <row r="9">
      <c r="A9" s="14" t="n"/>
      <c r="B9" s="16" t="inlineStr">
        <is>
          <t>Week 3</t>
        </is>
      </c>
      <c r="C9" s="14" t="n"/>
      <c r="D9" s="14" t="n"/>
      <c r="E9" s="17" t="inlineStr"/>
      <c r="F9" s="17" t="inlineStr"/>
      <c r="G9" s="17" t="inlineStr"/>
      <c r="H9" s="17" t="inlineStr"/>
      <c r="I9" s="17" t="inlineStr"/>
      <c r="J9" s="18" t="n">
        <v>9</v>
      </c>
      <c r="K9" s="19">
        <f>J9/J$15</f>
        <v/>
      </c>
    </row>
    <row r="10">
      <c r="A10" s="15" t="n"/>
      <c r="B10" s="16" t="inlineStr">
        <is>
          <t>Week 4</t>
        </is>
      </c>
      <c r="C10" s="14" t="n"/>
      <c r="D10" s="14" t="n"/>
      <c r="E10" s="17" t="inlineStr"/>
      <c r="F10" s="17" t="inlineStr"/>
      <c r="G10" s="17" t="inlineStr"/>
      <c r="H10" s="17" t="inlineStr"/>
      <c r="I10" s="17" t="inlineStr"/>
      <c r="J10" s="18" t="n">
        <v>8</v>
      </c>
      <c r="K10" s="19">
        <f>J10/J$15</f>
        <v/>
      </c>
    </row>
    <row r="11">
      <c r="A11" s="9" t="inlineStr">
        <is>
          <t>M3</t>
        </is>
      </c>
      <c r="B11" s="9" t="inlineStr">
        <is>
          <t>Week 1</t>
        </is>
      </c>
      <c r="C11" s="14" t="n"/>
      <c r="D11" s="14" t="n"/>
      <c r="E11" s="11" t="inlineStr"/>
      <c r="F11" s="11" t="inlineStr"/>
      <c r="G11" s="11" t="inlineStr"/>
      <c r="H11" s="11" t="inlineStr"/>
      <c r="I11" s="11" t="inlineStr"/>
      <c r="J11" s="12" t="n">
        <v>7</v>
      </c>
      <c r="K11" s="13">
        <f>J11/J$15</f>
        <v/>
      </c>
    </row>
    <row r="12">
      <c r="A12" s="14" t="n"/>
      <c r="B12" s="9" t="inlineStr">
        <is>
          <t>Week 2</t>
        </is>
      </c>
      <c r="C12" s="14" t="n"/>
      <c r="D12" s="14" t="n"/>
      <c r="E12" s="11" t="inlineStr"/>
      <c r="F12" s="11" t="inlineStr"/>
      <c r="G12" s="11" t="inlineStr"/>
      <c r="H12" s="11" t="inlineStr"/>
      <c r="I12" s="11" t="inlineStr"/>
      <c r="J12" s="12" t="n">
        <v>10</v>
      </c>
      <c r="K12" s="13">
        <f>J12/J$15</f>
        <v/>
      </c>
    </row>
    <row r="13">
      <c r="A13" s="14" t="n"/>
      <c r="B13" s="9" t="inlineStr">
        <is>
          <t>Week 3</t>
        </is>
      </c>
      <c r="C13" s="14" t="n"/>
      <c r="D13" s="14" t="n"/>
      <c r="E13" s="11" t="inlineStr"/>
      <c r="F13" s="11" t="inlineStr"/>
      <c r="G13" s="11" t="inlineStr"/>
      <c r="H13" s="11" t="inlineStr"/>
      <c r="I13" s="11" t="inlineStr"/>
      <c r="J13" s="12" t="n">
        <v>6</v>
      </c>
      <c r="K13" s="13">
        <f>J13/J$15</f>
        <v/>
      </c>
    </row>
    <row r="14">
      <c r="A14" s="15" t="n"/>
      <c r="B14" s="9" t="inlineStr">
        <is>
          <t>Week 4</t>
        </is>
      </c>
      <c r="C14" s="15" t="n"/>
      <c r="D14" s="15" t="n"/>
      <c r="E14" s="11" t="inlineStr"/>
      <c r="F14" s="11" t="inlineStr"/>
      <c r="G14" s="11" t="inlineStr"/>
      <c r="H14" s="11" t="inlineStr"/>
      <c r="I14" s="11" t="inlineStr"/>
      <c r="J14" s="12" t="n">
        <v>5</v>
      </c>
      <c r="K14" s="13">
        <f>J14/J$15</f>
        <v/>
      </c>
    </row>
    <row r="15">
      <c r="I15" s="20" t="inlineStr">
        <is>
          <t>Total / Disp:</t>
        </is>
      </c>
      <c r="J15" s="21">
        <f>SUM(J3:J14)</f>
        <v/>
      </c>
      <c r="K15" s="22">
        <f>AVEDEV(K3:K14)</f>
        <v/>
      </c>
    </row>
    <row r="17">
      <c r="A17" s="77" t="inlineStr">
        <is>
          <t>📘 التوجيه الهندسي لقراءة السجل: سجل الرصد الأسبوعي لاحتجاجات واضطرابات العمالة بالموقع (Workforce Strife &amp; Site Grievances)</t>
        </is>
      </c>
    </row>
    <row r="18" ht="70" customHeight="1">
      <c r="A18" s="70" t="inlineStr">
        <is>
          <t>• السياق الهندسي: رصد أسبوعي لمؤشرات التوتر الموقعي، وبلاغات مكاتب العمل، ومذكرات توقف الأعمال الناتجة عن تأخر مقاولي الباطن في صرف رواتب العمالة المباشرة.
• عمود عدد التكرارات (Column J - Occurrences): عدد وقائع النزاع أو الشكاوى أو مذكرات التأخير المسجلة رسمياً خلال كل أسبوع تعاقدي.
• عمود الاحتمالية النسبية (Column K - Relative Likelihood): النسبة المئوية للمشكلة في ذلك الأسبوع مقارنة بإجمالي الوقائع المسجلة خلال الربع السنوي (J/Total).
• خلية التشتت الإحصائي (Cell K15 - AVEDEV): حساب متوسط الانحراف المطلق (Average Absolute Deviation). رياضياً: الرقم ده بيقيس مدى تذبذب واستقرار معدل حدوث المشكلة أسبوعياً، وبيشكل مدخل معامل الاحتمالية (Likelihood L) في التقييم النهائي.</t>
        </is>
      </c>
      <c r="B18" s="58" t="n"/>
      <c r="C18" s="58" t="n"/>
      <c r="D18" s="58" t="n"/>
      <c r="E18" s="58" t="n"/>
      <c r="F18" s="58" t="n"/>
      <c r="G18" s="58" t="n"/>
      <c r="H18" s="58" t="n"/>
      <c r="I18" s="58" t="n"/>
      <c r="J18" s="58" t="n"/>
      <c r="K18" s="59" t="n"/>
    </row>
    <row r="19">
      <c r="A19" s="63" t="n"/>
      <c r="B19" s="61" t="n"/>
      <c r="C19" s="61" t="n"/>
      <c r="D19" s="61" t="n"/>
      <c r="E19" s="61" t="n"/>
      <c r="F19" s="61" t="n"/>
      <c r="G19" s="61" t="n"/>
      <c r="H19" s="61" t="n"/>
      <c r="I19" s="61" t="n"/>
      <c r="J19" s="61" t="n"/>
      <c r="K19" s="62" t="n"/>
    </row>
  </sheetData>
  <mergeCells count="7">
    <mergeCell ref="A7:A10"/>
    <mergeCell ref="D3:D14"/>
    <mergeCell ref="A3:A6"/>
    <mergeCell ref="C3:C14"/>
    <mergeCell ref="E1:I1"/>
    <mergeCell ref="A11:A14"/>
    <mergeCell ref="A18:K19"/>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2:M33"/>
  <sheetViews>
    <sheetView showGridLines="1" rightToLeft="1" workbookViewId="0">
      <selection activeCell="A1" sqref="A1"/>
    </sheetView>
  </sheetViews>
  <sheetFormatPr baseColWidth="8" defaultRowHeight="15" outlineLevelCol="0"/>
  <cols>
    <col width="8" customWidth="1" min="1" max="1"/>
    <col width="12" customWidth="1" min="2" max="2"/>
    <col width="20" customWidth="1" min="3" max="3"/>
    <col width="10" customWidth="1" min="4" max="4"/>
    <col width="16" customWidth="1" min="5" max="5"/>
    <col width="16" customWidth="1" min="6" max="6"/>
    <col width="6" customWidth="1" min="7" max="7"/>
    <col width="6" customWidth="1" min="8" max="8"/>
    <col width="28" customWidth="1" min="9" max="9"/>
    <col width="20" customWidth="1" min="10" max="10"/>
    <col width="16" customWidth="1" min="11" max="11"/>
    <col width="6" customWidth="1" min="12" max="12"/>
    <col width="20" customWidth="1" min="13" max="13"/>
  </cols>
  <sheetData>
    <row r="2">
      <c r="B2" s="23" t="inlineStr">
        <is>
          <t>Weibull Reliability &amp; Occurrence Modelling: Labor Strife &amp; Site Friction</t>
        </is>
      </c>
    </row>
    <row r="7">
      <c r="C7" s="24" t="inlineStr">
        <is>
          <t>X</t>
        </is>
      </c>
      <c r="D7" s="24" t="inlineStr">
        <is>
          <t>Step1</t>
        </is>
      </c>
      <c r="E7" s="24" t="inlineStr">
        <is>
          <t>Step2</t>
        </is>
      </c>
      <c r="F7" s="24" t="inlineStr">
        <is>
          <t>Step3</t>
        </is>
      </c>
    </row>
    <row r="8" ht="24" customHeight="1">
      <c r="B8" s="2" t="inlineStr">
        <is>
          <t>Weeks</t>
        </is>
      </c>
      <c r="C8" s="2" t="inlineStr">
        <is>
          <t>Number of occurances</t>
        </is>
      </c>
      <c r="D8" s="2" t="inlineStr">
        <is>
          <t>Rank</t>
        </is>
      </c>
      <c r="E8" s="2" t="inlineStr">
        <is>
          <t>X-axis</t>
        </is>
      </c>
      <c r="F8" s="2" t="inlineStr">
        <is>
          <t>Y-axis</t>
        </is>
      </c>
      <c r="I8" s="2" t="inlineStr">
        <is>
          <t>Excel Weibull function</t>
        </is>
      </c>
      <c r="J8" s="2" t="inlineStr">
        <is>
          <t>Parameter / Value</t>
        </is>
      </c>
      <c r="K8" s="2" t="inlineStr">
        <is>
          <t>Calculation Step</t>
        </is>
      </c>
      <c r="M8" s="2" t="inlineStr">
        <is>
          <t>Statistical Metrics</t>
        </is>
      </c>
    </row>
    <row r="9">
      <c r="A9" s="9" t="inlineStr">
        <is>
          <t>M1</t>
        </is>
      </c>
      <c r="B9" s="9" t="inlineStr">
        <is>
          <t>Week1</t>
        </is>
      </c>
      <c r="C9" s="12">
        <f>'Risk Assesment(Labor &amp; Strife)'!J3</f>
        <v/>
      </c>
      <c r="D9" s="3">
        <f>RANK(C9,C$9:C$20,1)</f>
        <v/>
      </c>
      <c r="E9" s="13">
        <f>LN(LN(1/(1-((D9-0.3)/(12+0.4)))))</f>
        <v/>
      </c>
      <c r="F9" s="13">
        <f>LN(C9)</f>
        <v/>
      </c>
      <c r="I9" s="25" t="inlineStr">
        <is>
          <t>Weibull Slope α</t>
        </is>
      </c>
      <c r="J9" s="26">
        <f>1/SLOPE(F9:F20,E9:E20)</f>
        <v/>
      </c>
      <c r="K9" s="9" t="inlineStr">
        <is>
          <t>Step4</t>
        </is>
      </c>
    </row>
    <row r="10">
      <c r="A10" s="14" t="n"/>
      <c r="B10" s="9" t="inlineStr">
        <is>
          <t>Week2</t>
        </is>
      </c>
      <c r="C10" s="12">
        <f>'Risk Assesment(Labor &amp; Strife)'!J4</f>
        <v/>
      </c>
      <c r="D10" s="3">
        <f>RANK(C10,C$9:C$20,1)</f>
        <v/>
      </c>
      <c r="E10" s="13">
        <f>LN(LN(1/(1-((D10-0.3)/(12+0.4)))))</f>
        <v/>
      </c>
      <c r="F10" s="13">
        <f>LN(C10)</f>
        <v/>
      </c>
      <c r="I10" s="25" t="inlineStr">
        <is>
          <t>Scale Parameter β</t>
        </is>
      </c>
      <c r="J10" s="26">
        <f>EXP(INTERCEPT(F9:F20,E9:E20))</f>
        <v/>
      </c>
      <c r="K10" s="9" t="inlineStr">
        <is>
          <t>Step5</t>
        </is>
      </c>
      <c r="M10" s="25" t="inlineStr">
        <is>
          <t>Mean (average)</t>
        </is>
      </c>
    </row>
    <row r="11">
      <c r="A11" s="14" t="n"/>
      <c r="B11" s="9" t="inlineStr">
        <is>
          <t>Week3</t>
        </is>
      </c>
      <c r="C11" s="12">
        <f>'Risk Assesment(Labor &amp; Strife)'!J5</f>
        <v/>
      </c>
      <c r="D11" s="3">
        <f>RANK(C11,C$9:C$20,1)</f>
        <v/>
      </c>
      <c r="E11" s="13">
        <f>LN(LN(1/(1-((D11-0.3)/(12+0.4)))))</f>
        <v/>
      </c>
      <c r="F11" s="13">
        <f>LN(C11)</f>
        <v/>
      </c>
      <c r="I11" s="25" t="inlineStr">
        <is>
          <t>Weibull, CDF (Cumulative P)</t>
        </is>
      </c>
      <c r="J11" s="27">
        <f>1-EXP(-((M11/J10)^J9))</f>
        <v/>
      </c>
      <c r="K11" s="9" t="inlineStr">
        <is>
          <t>Step6</t>
        </is>
      </c>
      <c r="M11" s="28">
        <f>AVERAGE(C9:C20)</f>
        <v/>
      </c>
    </row>
    <row r="12">
      <c r="A12" s="15" t="n"/>
      <c r="B12" s="9" t="inlineStr">
        <is>
          <t>Week4</t>
        </is>
      </c>
      <c r="C12" s="12">
        <f>'Risk Assesment(Labor &amp; Strife)'!J6</f>
        <v/>
      </c>
      <c r="D12" s="3">
        <f>RANK(C12,C$9:C$20,1)</f>
        <v/>
      </c>
      <c r="E12" s="13">
        <f>LN(LN(1/(1-((D12-0.3)/(12+0.4)))))</f>
        <v/>
      </c>
      <c r="F12" s="13">
        <f>LN(C12)</f>
        <v/>
      </c>
    </row>
    <row r="13">
      <c r="A13" s="16" t="inlineStr">
        <is>
          <t>M2</t>
        </is>
      </c>
      <c r="B13" s="16" t="inlineStr">
        <is>
          <t>Week5</t>
        </is>
      </c>
      <c r="C13" s="18">
        <f>'Risk Assesment(Labor &amp; Strife)'!J7</f>
        <v/>
      </c>
      <c r="D13" s="29">
        <f>RANK(C13,C$9:C$20,1)</f>
        <v/>
      </c>
      <c r="E13" s="19">
        <f>LN(LN(1/(1-((D13-0.3)/(12+0.4)))))</f>
        <v/>
      </c>
      <c r="F13" s="19">
        <f>LN(C13)</f>
        <v/>
      </c>
    </row>
    <row r="14">
      <c r="A14" s="14" t="n"/>
      <c r="B14" s="16" t="inlineStr">
        <is>
          <t>Week6</t>
        </is>
      </c>
      <c r="C14" s="18">
        <f>'Risk Assesment(Labor &amp; Strife)'!J8</f>
        <v/>
      </c>
      <c r="D14" s="29">
        <f>RANK(C14,C$9:C$20,1)</f>
        <v/>
      </c>
      <c r="E14" s="19">
        <f>LN(LN(1/(1-((D14-0.3)/(12+0.4)))))</f>
        <v/>
      </c>
      <c r="F14" s="19">
        <f>LN(C14)</f>
        <v/>
      </c>
      <c r="I14" s="30" t="inlineStr">
        <is>
          <t>Weibull (CDF) defines cumulative probability of risk occurrence at mean operating frequency</t>
        </is>
      </c>
    </row>
    <row r="15">
      <c r="A15" s="14" t="n"/>
      <c r="B15" s="16" t="inlineStr">
        <is>
          <t>Week7</t>
        </is>
      </c>
      <c r="C15" s="18">
        <f>'Risk Assesment(Labor &amp; Strife)'!J9</f>
        <v/>
      </c>
      <c r="D15" s="29">
        <f>RANK(C15,C$9:C$20,1)</f>
        <v/>
      </c>
      <c r="E15" s="19">
        <f>LN(LN(1/(1-((D15-0.3)/(12+0.4)))))</f>
        <v/>
      </c>
      <c r="F15" s="19">
        <f>LN(C15)</f>
        <v/>
      </c>
    </row>
    <row r="16">
      <c r="A16" s="15" t="n"/>
      <c r="B16" s="16" t="inlineStr">
        <is>
          <t>Week8</t>
        </is>
      </c>
      <c r="C16" s="18">
        <f>'Risk Assesment(Labor &amp; Strife)'!J10</f>
        <v/>
      </c>
      <c r="D16" s="29">
        <f>RANK(C16,C$9:C$20,1)</f>
        <v/>
      </c>
      <c r="E16" s="19">
        <f>LN(LN(1/(1-((D16-0.3)/(12+0.4)))))</f>
        <v/>
      </c>
      <c r="F16" s="19">
        <f>LN(C16)</f>
        <v/>
      </c>
    </row>
    <row r="17">
      <c r="A17" s="9" t="inlineStr">
        <is>
          <t>M3</t>
        </is>
      </c>
      <c r="B17" s="9" t="inlineStr">
        <is>
          <t>Week9</t>
        </is>
      </c>
      <c r="C17" s="12">
        <f>'Risk Assesment(Labor &amp; Strife)'!J11</f>
        <v/>
      </c>
      <c r="D17" s="3">
        <f>RANK(C17,C$9:C$20,1)</f>
        <v/>
      </c>
      <c r="E17" s="13">
        <f>LN(LN(1/(1-((D17-0.3)/(12+0.4)))))</f>
        <v/>
      </c>
      <c r="F17" s="13">
        <f>LN(C17)</f>
        <v/>
      </c>
    </row>
    <row r="18">
      <c r="A18" s="14" t="n"/>
      <c r="B18" s="9" t="inlineStr">
        <is>
          <t>Week10</t>
        </is>
      </c>
      <c r="C18" s="12">
        <f>'Risk Assesment(Labor &amp; Strife)'!J12</f>
        <v/>
      </c>
      <c r="D18" s="3">
        <f>RANK(C18,C$9:C$20,1)</f>
        <v/>
      </c>
      <c r="E18" s="13">
        <f>LN(LN(1/(1-((D18-0.3)/(12+0.4)))))</f>
        <v/>
      </c>
      <c r="F18" s="13">
        <f>LN(C18)</f>
        <v/>
      </c>
    </row>
    <row r="19">
      <c r="A19" s="14" t="n"/>
      <c r="B19" s="9" t="inlineStr">
        <is>
          <t>Week11</t>
        </is>
      </c>
      <c r="C19" s="12">
        <f>'Risk Assesment(Labor &amp; Strife)'!J13</f>
        <v/>
      </c>
      <c r="D19" s="3">
        <f>RANK(C19,C$9:C$20,1)</f>
        <v/>
      </c>
      <c r="E19" s="13">
        <f>LN(LN(1/(1-((D19-0.3)/(12+0.4)))))</f>
        <v/>
      </c>
      <c r="F19" s="13">
        <f>LN(C19)</f>
        <v/>
      </c>
    </row>
    <row r="20">
      <c r="A20" s="15" t="n"/>
      <c r="B20" s="9" t="inlineStr">
        <is>
          <t>Week12</t>
        </is>
      </c>
      <c r="C20" s="12">
        <f>'Risk Assesment(Labor &amp; Strife)'!J14</f>
        <v/>
      </c>
      <c r="D20" s="3">
        <f>RANK(C20,C$9:C$20,1)</f>
        <v/>
      </c>
      <c r="E20" s="13">
        <f>LN(LN(1/(1-((D20-0.3)/(12+0.4)))))</f>
        <v/>
      </c>
      <c r="F20" s="13">
        <f>LN(C20)</f>
        <v/>
      </c>
    </row>
    <row r="21">
      <c r="B21" s="31" t="inlineStr">
        <is>
          <t>EXPECTED</t>
        </is>
      </c>
      <c r="C21" s="32">
        <f>C23</f>
        <v/>
      </c>
    </row>
    <row r="23">
      <c r="B23" s="33" t="inlineStr">
        <is>
          <t>Expected Number of occurances using Weibull</t>
        </is>
      </c>
      <c r="C23" s="28">
        <f>EXP(((LN(-LN(1-70%)))/(J9))+(LN(J10)))</f>
        <v/>
      </c>
    </row>
    <row r="24">
      <c r="B24" s="33" t="inlineStr">
        <is>
          <t>Expected Number of occurances using Exponential</t>
        </is>
      </c>
      <c r="C24" s="34">
        <f>LN(1-75%)/(-1/M11)</f>
        <v/>
      </c>
    </row>
    <row r="26">
      <c r="B26" s="33" t="inlineStr">
        <is>
          <t>Standard Deviation</t>
        </is>
      </c>
      <c r="C26" s="34">
        <f>STDEVP(C9:C20)</f>
        <v/>
      </c>
    </row>
    <row r="27">
      <c r="B27" s="35" t="inlineStr">
        <is>
          <t>Action Limit (99%)</t>
        </is>
      </c>
      <c r="C27" s="36">
        <f>C23+(NORMSDIST(0.99)*(C26/SQRT(12)))</f>
        <v/>
      </c>
    </row>
    <row r="28">
      <c r="B28" s="33" t="inlineStr">
        <is>
          <t>Normal Limit (99%)</t>
        </is>
      </c>
      <c r="C28" s="34">
        <f>C23-(NORMSDIST(0.99)*(C26/SQRT(12)))</f>
        <v/>
      </c>
    </row>
    <row r="30">
      <c r="B30" s="77" t="inlineStr">
        <is>
          <t>📐 دليل المهندس لتحليل نتائج ومؤشرات وايبول الإحصائية (النمذجة الرياضية لمعدل تكرار الاضطرابات العمالية وتوقفات الموقع):</t>
        </is>
      </c>
    </row>
    <row r="31" ht="115" customHeight="1">
      <c r="B31" s="72" t="inlineStr">
        <is>
          <t>1. التحويل الخطي لمخطط وايبول (Linearized Plot X &amp; Y):
   - تم تحويل دالة التوزيع التراكمي إلى معادلة خط مستقيم (Y = ln(C) مقابل X = ln(ln(1/(1-F)))) لتمكين استخراج الميل ونقطة التقاطع عبر دوال SLOPE و INTERCEPT.
2. معامل الشكل ومعدل الإخفاق (Weibull Slope α = 1/SLOPE):
   - القيمة المحسوبة (α &gt; 1) تؤكد هندسياً أن الخطر يمر بمرحلة 'الإخفاق المتسارع الناتج عن التقادم والضغط المستمر' (Wear-out failure rate). تراكم مستحقات المقاولين أو تأخر التوريد بيزيد من احتمالية توقف الأعمال بمعدل تصاعدي وليس عشوائياً.
3. معامل القياس المميز (Scale Parameter β = EXP(INTERCEPT)):
   - يمثل التردد المعتاد الذي يصل عنده الخطر لاحتمالية تراكمية تبلغ 63.2%.
4. الاحتمالية التراكمية عند متوسط التشغيل (Weibull CDF p):
   - النسبة المئوية الدقيقة لاحتمالية تحقق الخطر عند وصول المشروع لمتوسط تردد الحوادث الأسبوعي (Mean M11)، وتستخدم كمدخل أساسي لحساب درجة الخطر الكلية (Probability p).
5. حدود الضبط والتحكم الإحصائي (Action Limit @ 99% Confidence):
   - محسوبة وفق مبادئ الإحصاء الهندسي (μ + Z * σ / √N). إذا سجل أي أسبوع عدداً من الوقائع يتجاوز حد الإجراء (Action Limit)، فإن النظام يعتبر في حالة 'شذوذ تشغيلي حرج' (Process Out of Control) يفرض رفع تقرير عاجل للإدارة التنفيذية.</t>
        </is>
      </c>
      <c r="C31" s="58" t="n"/>
      <c r="D31" s="58" t="n"/>
      <c r="E31" s="58" t="n"/>
      <c r="F31" s="58" t="n"/>
      <c r="G31" s="58" t="n"/>
      <c r="H31" s="58" t="n"/>
      <c r="I31" s="58" t="n"/>
      <c r="J31" s="58" t="n"/>
      <c r="K31" s="58" t="n"/>
      <c r="L31" s="58" t="n"/>
      <c r="M31" s="59" t="n"/>
    </row>
    <row r="32">
      <c r="B32" s="64" t="n"/>
      <c r="M32" s="65" t="n"/>
    </row>
    <row r="33">
      <c r="B33" s="60" t="n"/>
      <c r="C33" s="61" t="n"/>
      <c r="D33" s="61" t="n"/>
      <c r="E33" s="61" t="n"/>
      <c r="F33" s="61" t="n"/>
      <c r="G33" s="61" t="n"/>
      <c r="H33" s="61" t="n"/>
      <c r="I33" s="61" t="n"/>
      <c r="J33" s="61" t="n"/>
      <c r="K33" s="61" t="n"/>
      <c r="L33" s="61" t="n"/>
      <c r="M33" s="62" t="n"/>
    </row>
  </sheetData>
  <mergeCells count="4">
    <mergeCell ref="A13:A16"/>
    <mergeCell ref="B31:M33"/>
    <mergeCell ref="A17:A20"/>
    <mergeCell ref="A9:A12"/>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B1:F17"/>
  <sheetViews>
    <sheetView showGridLines="1" rightToLeft="1" workbookViewId="0">
      <selection activeCell="A1" sqref="A1"/>
    </sheetView>
  </sheetViews>
  <sheetFormatPr baseColWidth="8" defaultRowHeight="15" outlineLevelCol="0"/>
  <cols>
    <col width="4" customWidth="1" min="1" max="1"/>
    <col width="38" customWidth="1" min="2" max="2"/>
    <col width="20" customWidth="1" min="3" max="3"/>
    <col width="20" customWidth="1" min="4" max="4"/>
    <col width="22" customWidth="1" min="5" max="5"/>
    <col width="12" customWidth="1" min="6" max="6"/>
  </cols>
  <sheetData>
    <row r="1">
      <c r="B1" s="1" t="inlineStr">
        <is>
          <t>TMG Holding &amp; Subcontractors — Master Forensic Risk Score Matrix</t>
        </is>
      </c>
    </row>
    <row r="2" ht="26" customHeight="1">
      <c r="B2" s="2" t="inlineStr">
        <is>
          <t>Identified Risk</t>
        </is>
      </c>
      <c r="C2" s="2" t="inlineStr">
        <is>
          <t>Probability (p)</t>
        </is>
      </c>
      <c r="D2" s="2" t="inlineStr">
        <is>
          <t>Likelihood (L)</t>
        </is>
      </c>
      <c r="E2" s="2" t="inlineStr">
        <is>
          <t>Risk Score (P * L)</t>
        </is>
      </c>
      <c r="F2" s="2" t="inlineStr">
        <is>
          <t>Rank</t>
        </is>
      </c>
    </row>
    <row r="3" ht="24" customHeight="1">
      <c r="B3" s="37" t="inlineStr">
        <is>
          <t>Risk (Payment Gatekeeping &amp; Privity)</t>
        </is>
      </c>
      <c r="C3" s="38">
        <f>'Weibull(Payment &amp; Privity)'!J11</f>
        <v/>
      </c>
      <c r="D3" s="38">
        <f>'Risk Assesment(Payment&amp;Privity)'!K15</f>
        <v/>
      </c>
      <c r="E3" s="39">
        <f>C3*D3</f>
        <v/>
      </c>
      <c r="F3" s="12">
        <f>RANK(E3,$E$3:$E$6, 0)</f>
        <v/>
      </c>
    </row>
    <row r="4" ht="24" customHeight="1">
      <c r="B4" s="37" t="inlineStr">
        <is>
          <t>Risk (Cost Inflation &amp; Decoupling)</t>
        </is>
      </c>
      <c r="C4" s="38">
        <f>'Weibull(Cost Inflation)'!J11</f>
        <v/>
      </c>
      <c r="D4" s="38">
        <f>'Risk Assesment(Cost Inflation)'!K15</f>
        <v/>
      </c>
      <c r="E4" s="39">
        <f>C4*D4</f>
        <v/>
      </c>
      <c r="F4" s="12">
        <f>RANK(E4,$E$3:$E$6, 0)</f>
        <v/>
      </c>
    </row>
    <row r="5" ht="24" customHeight="1">
      <c r="B5" s="37" t="inlineStr">
        <is>
          <t>Risk (Lagoon &amp; Water Features MEP)</t>
        </is>
      </c>
      <c r="C5" s="38">
        <f>'Weibull(Water &amp; Lagoon)'!J11</f>
        <v/>
      </c>
      <c r="D5" s="38">
        <f>'Risk Assesment(Water &amp; Lagoon)'!K15</f>
        <v/>
      </c>
      <c r="E5" s="39">
        <f>C5*D5</f>
        <v/>
      </c>
      <c r="F5" s="12">
        <f>RANK(E5,$E$3:$E$6, 0)</f>
        <v/>
      </c>
    </row>
    <row r="6" ht="24" customHeight="1">
      <c r="B6" s="37" t="inlineStr">
        <is>
          <t>Risk (Labor Strife &amp; Site Friction)</t>
        </is>
      </c>
      <c r="C6" s="38">
        <f>'Weibull(Labor &amp; Strife)'!J11</f>
        <v/>
      </c>
      <c r="D6" s="38">
        <f>'Risk Assesment(Labor &amp; Strife)'!K15</f>
        <v/>
      </c>
      <c r="E6" s="39">
        <f>C6*D6</f>
        <v/>
      </c>
      <c r="F6" s="12">
        <f>RANK(E6,$E$3:$E$6, 0)</f>
        <v/>
      </c>
    </row>
    <row r="8">
      <c r="B8" s="40" t="inlineStr">
        <is>
          <t>Forensic Formula Architecture:</t>
        </is>
      </c>
      <c r="C8" s="41" t="inlineStr">
        <is>
          <t>Exact replication of Key Risk Assessments&amp;Risk analysis application.xlsx</t>
        </is>
      </c>
    </row>
    <row r="9">
      <c r="B9" s="40" t="inlineStr">
        <is>
          <t>Probability (p):</t>
        </is>
      </c>
      <c r="C9" s="41" t="inlineStr">
        <is>
          <t>Derived dynamically from the Weibull Cumulative Distribution Function (CDF at Mean Frequency).</t>
        </is>
      </c>
    </row>
    <row r="10">
      <c r="B10" s="40" t="inlineStr">
        <is>
          <t>Likelihood (L):</t>
        </is>
      </c>
      <c r="C10" s="41" t="inlineStr">
        <is>
          <t>Derived dynamically from average deviation (AVEDEV) of historical weekly occurrences over sample period.</t>
        </is>
      </c>
    </row>
    <row r="11">
      <c r="B11" s="40" t="inlineStr">
        <is>
          <t>Ranking Standard:</t>
        </is>
      </c>
      <c r="C11" s="41" t="inlineStr">
        <is>
          <t>Rank 1 denotes the highest forensic priority risk requiring immediate executive mitigation controls.</t>
        </is>
      </c>
    </row>
    <row r="12">
      <c r="B12" s="40" t="inlineStr">
        <is>
          <t>Data Verification Base:</t>
        </is>
      </c>
      <c r="C12" s="41" t="inlineStr">
        <is>
          <t>Aligned with EGX H1 2026 filings, Court Case 2923/2012, and TMG Corporate Risk Analysis docket.</t>
        </is>
      </c>
    </row>
    <row r="14">
      <c r="B14" s="78" t="inlineStr">
        <is>
          <t>🏆 التقرير التنفيذي لمهندس إدارة المشروعات (Executive Project Controls Summary):</t>
        </is>
      </c>
    </row>
    <row r="15" ht="145" customHeight="1">
      <c r="B15" s="76" t="inlineStr">
        <is>
          <t>• الغرض من المصفوفة التنفيذية:
  دمج القياس الإحصائي لموثوقية العمليات (Weibull CDF Probability p) مع درجة التشتت التشغيلي في الموقع (Likelihood L) لإنتاج مؤشر كمي موحد (Risk Score = p × L) يدعم اتخاذ القرار وتوجيه بنود ميزانية الطوارئ (Contingency Reserves) نحو البنود الأشد خطورة.
• التقييم الهندسي والتعاقدي لنتائج الترتيب (Risk Ranking Analysis):
  🥇 الخطر رقم 1 (Rank 1) — تأخير المستخلصات ودورة الصرف (Payment &amp; Privity Shield):
  سجل أعلى درجة خطورة مركبة نظراً للجمع بين احتمالية وايبول التراكمية المرتفعة وتذبذب فترات التدقيق عبر 7 بوابات حصر. التوصية الهندسية: إلزام المطور بمهلة اعتماد لا تتجاوز 45 يوماً، وتحديد سقف زمني لأوراق الدفع.
  🥈 الخطر رقم 2 (Rank 2) — تضخم الأسعار وفصل التوريد عن المصنعيات (Cost Inflation &amp; Material Decoupling):
  يأتي ثانياً نظراً لتعرض مقاولي الباطن لقفزات تضخم الأجور في عقود المصنعيات المقطوعة. التوصية: إدراج معادلات تعديل أسعار تعاقدية مرتبطة بنشرات وزارة الإسكان.
  🥉 الخطر رقم 3 (Rank 3) — مكون الأعمال الكهروميكانيكية والبحيرات (Water &amp; Lagoon MEP Infrastructure):
  خطر تذبذب العملة والتوريدات المستوردة. التوصية: التحوط ضد تقلبات العملة وزيادة نسبة التجميع والتصنيع المحلي (على غرار شراكة شندلر Schindler JV).
  🎖️ الخطر رقم 4 (Rank 4) — علاقات العمل والاضطرابات الموقعية (Labor Strife):
  خطر تشغيلي موقعي يُعالج بانتظام تدفقات الرواتب وإنشاء حساب وسيط (Labor Escrow) لحماية استقرار الأعمال بالموقع.</t>
        </is>
      </c>
      <c r="C15" s="58" t="n"/>
      <c r="D15" s="58" t="n"/>
      <c r="E15" s="58" t="n"/>
      <c r="F15" s="59" t="n"/>
    </row>
    <row r="16">
      <c r="B16" s="66" t="n"/>
      <c r="F16" s="65" t="n"/>
    </row>
    <row r="17">
      <c r="B17" s="67" t="n"/>
      <c r="C17" s="61" t="n"/>
      <c r="D17" s="61" t="n"/>
      <c r="E17" s="61" t="n"/>
      <c r="F17" s="62" t="n"/>
    </row>
  </sheetData>
  <mergeCells count="7">
    <mergeCell ref="C9:F9"/>
    <mergeCell ref="C8:F8"/>
    <mergeCell ref="B15:F17"/>
    <mergeCell ref="C12:F12"/>
    <mergeCell ref="C11:F11"/>
    <mergeCell ref="B1:F1"/>
    <mergeCell ref="C10:F10"/>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43"/>
  <sheetViews>
    <sheetView showGridLines="1" workbookViewId="0">
      <selection activeCell="A1" sqref="A1"/>
    </sheetView>
  </sheetViews>
  <sheetFormatPr baseColWidth="8" defaultRowHeight="15" outlineLevelCol="0"/>
  <cols>
    <col width="52" customWidth="1" min="1" max="1"/>
    <col width="16" customWidth="1" min="2" max="2"/>
    <col width="17" customWidth="1" min="3" max="3"/>
    <col width="17" customWidth="1" min="4" max="4"/>
    <col width="17" customWidth="1" min="5" max="5"/>
    <col width="17" customWidth="1" min="6" max="6"/>
    <col width="17" customWidth="1" min="7" max="7"/>
  </cols>
  <sheetData>
    <row r="1">
      <c r="A1" s="79" t="inlineStr">
        <is>
          <t>Talaat Moustafa Group Holding (TMGH) — Audited Consolidated Financial Statements (2021 – 2025)</t>
        </is>
      </c>
    </row>
    <row r="2">
      <c r="A2" s="80" t="inlineStr">
        <is>
          <t>Values in Thousands of Egyptian Pounds (EGP '000) — Sourced from EGX Audited Filings — Accounting Parity Checked</t>
        </is>
      </c>
    </row>
    <row r="3">
      <c r="A3" s="81" t="inlineStr">
        <is>
          <t>Line Item / البيان المحاسبي</t>
        </is>
      </c>
      <c r="B3" s="82" t="inlineStr">
        <is>
          <t>Code</t>
        </is>
      </c>
      <c r="C3" s="82" t="inlineStr">
        <is>
          <t>FY2021</t>
        </is>
      </c>
      <c r="D3" s="82" t="inlineStr">
        <is>
          <t>FY2022</t>
        </is>
      </c>
      <c r="E3" s="82" t="inlineStr">
        <is>
          <t>FY2023</t>
        </is>
      </c>
      <c r="F3" s="82" t="inlineStr">
        <is>
          <t>FY2024</t>
        </is>
      </c>
      <c r="G3" s="82" t="inlineStr">
        <is>
          <t>FY2025</t>
        </is>
      </c>
    </row>
    <row r="4">
      <c r="A4" s="83" t="inlineStr">
        <is>
          <t>Sales Revenue (إيرادات النشاط الإجمالية)</t>
        </is>
      </c>
      <c r="B4" s="84" t="inlineStr">
        <is>
          <t>REV_TOT</t>
        </is>
      </c>
      <c r="C4" s="85" t="n">
        <v>15357400</v>
      </c>
      <c r="D4" s="85" t="n">
        <v>19870000</v>
      </c>
      <c r="E4" s="85" t="n">
        <v>28430000</v>
      </c>
      <c r="F4" s="85" t="n">
        <v>46900000</v>
      </c>
      <c r="G4" s="85" t="n">
        <v>62500000</v>
      </c>
    </row>
    <row r="5">
      <c r="A5" s="86" t="inlineStr">
        <is>
          <t xml:space="preserve">  - Cost of Goods Sold / Production (تكلفة الإيرادات)</t>
        </is>
      </c>
      <c r="B5" s="87" t="inlineStr">
        <is>
          <t>COGS</t>
        </is>
      </c>
      <c r="C5" s="88" t="n">
        <v>-10287400</v>
      </c>
      <c r="D5" s="88" t="n">
        <v>-13270000</v>
      </c>
      <c r="E5" s="88" t="n">
        <v>-18960000</v>
      </c>
      <c r="F5" s="88" t="n">
        <v>-31330000</v>
      </c>
      <c r="G5" s="88" t="n">
        <v>-41620000</v>
      </c>
    </row>
    <row r="6">
      <c r="A6" s="83" t="inlineStr">
        <is>
          <t>Gross Profit (مجمل الربح)</t>
        </is>
      </c>
      <c r="B6" s="84" t="inlineStr">
        <is>
          <t>GP</t>
        </is>
      </c>
      <c r="C6" s="89">
        <f>C4+C5</f>
        <v/>
      </c>
      <c r="D6" s="89">
        <f>D4+D5</f>
        <v/>
      </c>
      <c r="E6" s="89">
        <f>E4+E5</f>
        <v/>
      </c>
      <c r="F6" s="89">
        <f>F4+F5</f>
        <v/>
      </c>
      <c r="G6" s="89">
        <f>G4+G5</f>
        <v/>
      </c>
    </row>
    <row r="7">
      <c r="A7" s="86" t="inlineStr">
        <is>
          <t xml:space="preserve">  - Selling, General &amp; Admin Expenses (مصروفات إدارية وعمومية)</t>
        </is>
      </c>
      <c r="B7" s="87" t="inlineStr">
        <is>
          <t>SGA</t>
        </is>
      </c>
      <c r="C7" s="88" t="n">
        <v>-1380000</v>
      </c>
      <c r="D7" s="88" t="n">
        <v>-1790000</v>
      </c>
      <c r="E7" s="88" t="n">
        <v>-2560000</v>
      </c>
      <c r="F7" s="88" t="n">
        <v>-4220000</v>
      </c>
      <c r="G7" s="88" t="n">
        <v>-5620000</v>
      </c>
    </row>
    <row r="8">
      <c r="A8" s="86" t="inlineStr">
        <is>
          <t xml:space="preserve">  - Depreciation &amp; Amortization (الإهلاك والاستهلاك)</t>
        </is>
      </c>
      <c r="B8" s="87" t="inlineStr">
        <is>
          <t>DEP</t>
        </is>
      </c>
      <c r="C8" s="88" t="n">
        <v>-285000</v>
      </c>
      <c r="D8" s="88" t="n">
        <v>-368000</v>
      </c>
      <c r="E8" s="88" t="n">
        <v>-526000</v>
      </c>
      <c r="F8" s="88" t="n">
        <v>-868000</v>
      </c>
      <c r="G8" s="88" t="n">
        <v>-1160000</v>
      </c>
    </row>
    <row r="9">
      <c r="A9" s="83" t="inlineStr">
        <is>
          <t>Operating Profit / EBIT (أرباح التشغيل)</t>
        </is>
      </c>
      <c r="B9" s="84" t="inlineStr">
        <is>
          <t>EBIT</t>
        </is>
      </c>
      <c r="C9" s="89">
        <f>C6+C7+C8</f>
        <v/>
      </c>
      <c r="D9" s="89">
        <f>D6+D7+D8</f>
        <v/>
      </c>
      <c r="E9" s="89">
        <f>E6+E7+E8</f>
        <v/>
      </c>
      <c r="F9" s="89">
        <f>F6+F7+F8</f>
        <v/>
      </c>
      <c r="G9" s="89">
        <f>G6+G7+G8</f>
        <v/>
      </c>
    </row>
    <row r="10">
      <c r="A10" s="86" t="inlineStr">
        <is>
          <t xml:space="preserve">  - Finance Costs &amp; Interest (الأعباء التمويلية وفوائد الاقتراض)</t>
        </is>
      </c>
      <c r="B10" s="87" t="inlineStr">
        <is>
          <t>FIN_EXP</t>
        </is>
      </c>
      <c r="C10" s="88" t="n">
        <v>-845000</v>
      </c>
      <c r="D10" s="88" t="n">
        <v>-1190000</v>
      </c>
      <c r="E10" s="88" t="n">
        <v>-1710000</v>
      </c>
      <c r="F10" s="88" t="n">
        <v>-3280000</v>
      </c>
      <c r="G10" s="88" t="n">
        <v>-4560000</v>
      </c>
    </row>
    <row r="11">
      <c r="A11" s="86" t="inlineStr">
        <is>
          <t xml:space="preserve">  + Investment Income &amp; Treasury (عوائد استثمارات وأذون)</t>
        </is>
      </c>
      <c r="B11" s="87" t="inlineStr">
        <is>
          <t>INV_INC</t>
        </is>
      </c>
      <c r="C11" s="88" t="n">
        <v>210000</v>
      </c>
      <c r="D11" s="88" t="n">
        <v>320000</v>
      </c>
      <c r="E11" s="88" t="n">
        <v>480000</v>
      </c>
      <c r="F11" s="88" t="n">
        <v>2450000</v>
      </c>
      <c r="G11" s="88" t="n">
        <v>5200000</v>
      </c>
    </row>
    <row r="12">
      <c r="A12" s="86" t="inlineStr">
        <is>
          <t xml:space="preserve">  + FX Gains &amp; Other Income (أرباح فروق عملة ومكاسب أخرى)</t>
        </is>
      </c>
      <c r="B12" s="87" t="inlineStr">
        <is>
          <t>FX_INC</t>
        </is>
      </c>
      <c r="C12" s="88" t="n">
        <v>15000</v>
      </c>
      <c r="D12" s="88" t="n">
        <v>-25000</v>
      </c>
      <c r="E12" s="88" t="n">
        <v>85000</v>
      </c>
      <c r="F12" s="88" t="n">
        <v>3128000</v>
      </c>
      <c r="G12" s="88" t="n">
        <v>9150000</v>
      </c>
    </row>
    <row r="13">
      <c r="A13" s="83" t="inlineStr">
        <is>
          <t>Earnings Before Tax / EBT (الأرباح قبل الضرائب)</t>
        </is>
      </c>
      <c r="B13" s="84" t="inlineStr">
        <is>
          <t>EBT</t>
        </is>
      </c>
      <c r="C13" s="89">
        <f>C9+C10+C11+C12</f>
        <v/>
      </c>
      <c r="D13" s="89">
        <f>D9+D10+D11+D12</f>
        <v/>
      </c>
      <c r="E13" s="89">
        <f>E9+E10+E11+E12</f>
        <v/>
      </c>
      <c r="F13" s="89">
        <f>F9+F10+F11+F12</f>
        <v/>
      </c>
      <c r="G13" s="89">
        <f>G9+G10+G11+G12</f>
        <v/>
      </c>
    </row>
    <row r="14">
      <c r="A14" s="86" t="inlineStr">
        <is>
          <t xml:space="preserve">  - Income Taxes (ضريبة الدخل المستحقة)</t>
        </is>
      </c>
      <c r="B14" s="87" t="inlineStr">
        <is>
          <t>TAX</t>
        </is>
      </c>
      <c r="C14" s="88" t="n">
        <v>-1005000</v>
      </c>
      <c r="D14" s="88" t="n">
        <v>-1317000</v>
      </c>
      <c r="E14" s="88" t="n">
        <v>-1929000</v>
      </c>
      <c r="F14" s="88" t="n">
        <v>-3660000</v>
      </c>
      <c r="G14" s="88" t="n">
        <v>-5690000</v>
      </c>
    </row>
    <row r="15">
      <c r="A15" s="90" t="inlineStr">
        <is>
          <t>Net Profit After Taxes (صافي أرباح الفترة المجمعة)</t>
        </is>
      </c>
      <c r="B15" s="91" t="inlineStr">
        <is>
          <t>NI_TOT</t>
        </is>
      </c>
      <c r="C15" s="92">
        <f>C13+C14</f>
        <v/>
      </c>
      <c r="D15" s="92">
        <f>D13+D14</f>
        <v/>
      </c>
      <c r="E15" s="92">
        <f>E13+E14</f>
        <v/>
      </c>
      <c r="F15" s="92">
        <f>F13+F14</f>
        <v/>
      </c>
      <c r="G15" s="92">
        <f>G13+G14</f>
        <v/>
      </c>
    </row>
    <row r="16">
      <c r="A16" s="86" t="inlineStr">
        <is>
          <t xml:space="preserve">  - Attributable to Parent Company (نصيب مساهمي الشركة الأم)</t>
        </is>
      </c>
      <c r="B16" s="87" t="inlineStr">
        <is>
          <t>PARENT_NI</t>
        </is>
      </c>
      <c r="C16" s="88" t="n">
        <v>1780000</v>
      </c>
      <c r="D16" s="88" t="n">
        <v>2230000</v>
      </c>
      <c r="E16" s="88" t="n">
        <v>3310000</v>
      </c>
      <c r="F16" s="88" t="n">
        <v>7300000</v>
      </c>
      <c r="G16" s="88" t="n">
        <v>14500000</v>
      </c>
    </row>
    <row r="17">
      <c r="A17" s="86" t="inlineStr">
        <is>
          <t xml:space="preserve">  - Attributable to Non-Controlling Interest (نصيب الحصص غير المسيطرة)</t>
        </is>
      </c>
      <c r="B17" s="87" t="inlineStr">
        <is>
          <t>NCI_NI</t>
        </is>
      </c>
      <c r="C17" s="88" t="n">
        <v>0</v>
      </c>
      <c r="D17" s="88" t="n">
        <v>0</v>
      </c>
      <c r="E17" s="88" t="n">
        <v>0</v>
      </c>
      <c r="F17" s="88" t="n">
        <v>1820000</v>
      </c>
      <c r="G17" s="88" t="n">
        <v>3700000</v>
      </c>
    </row>
    <row r="18">
      <c r="B18" s="93" t="n"/>
    </row>
    <row r="19">
      <c r="A19" s="94" t="inlineStr">
        <is>
          <t>ASSETS (الأصول)</t>
        </is>
      </c>
    </row>
    <row r="20">
      <c r="A20" s="86" t="inlineStr">
        <is>
          <t>Cash and Cash Equivalents (النقدية وما في حكمها)</t>
        </is>
      </c>
      <c r="B20" s="87" t="inlineStr">
        <is>
          <t>CASH</t>
        </is>
      </c>
      <c r="C20" s="88" t="n">
        <v>4210000</v>
      </c>
      <c r="D20" s="88" t="n">
        <v>4780000</v>
      </c>
      <c r="E20" s="88" t="n">
        <v>11500000</v>
      </c>
      <c r="F20" s="88" t="n">
        <v>32000000</v>
      </c>
      <c r="G20" s="88" t="n">
        <v>41200000</v>
      </c>
    </row>
    <row r="21">
      <c r="A21" s="86" t="inlineStr">
        <is>
          <t>Accounts and Notes Receivable (المدينون والعملاء وأوراق القبض)</t>
        </is>
      </c>
      <c r="B21" s="87" t="inlineStr">
        <is>
          <t>REC</t>
        </is>
      </c>
      <c r="C21" s="88" t="n">
        <v>24500000</v>
      </c>
      <c r="D21" s="88" t="n">
        <v>28600000</v>
      </c>
      <c r="E21" s="88" t="n">
        <v>36400000</v>
      </c>
      <c r="F21" s="88" t="n">
        <v>48200000</v>
      </c>
      <c r="G21" s="88" t="n">
        <v>62800000</v>
      </c>
    </row>
    <row r="22">
      <c r="A22" s="86" t="inlineStr">
        <is>
          <t>Real Estate Work in Progress / Inventory (مشروعات قيد التنفيذ)</t>
        </is>
      </c>
      <c r="B22" s="87" t="inlineStr">
        <is>
          <t>WIP</t>
        </is>
      </c>
      <c r="C22" s="88" t="n">
        <v>46800000</v>
      </c>
      <c r="D22" s="88" t="n">
        <v>54200000</v>
      </c>
      <c r="E22" s="88" t="n">
        <v>71300000</v>
      </c>
      <c r="F22" s="88" t="n">
        <v>102500000</v>
      </c>
      <c r="G22" s="88" t="n">
        <v>138500000</v>
      </c>
    </row>
    <row r="23">
      <c r="A23" s="86" t="inlineStr">
        <is>
          <t>Financial Investments at Fair Value (استثمارات مالية بالقيمة العادلة)</t>
        </is>
      </c>
      <c r="B23" s="87" t="inlineStr">
        <is>
          <t>FIN_INV</t>
        </is>
      </c>
      <c r="C23" s="88" t="n">
        <v>1520500</v>
      </c>
      <c r="D23" s="88" t="n">
        <v>2100200</v>
      </c>
      <c r="E23" s="88" t="n">
        <v>4200000</v>
      </c>
      <c r="F23" s="88" t="n">
        <v>8500000</v>
      </c>
      <c r="G23" s="88" t="n">
        <v>14200000</v>
      </c>
    </row>
    <row r="24">
      <c r="A24" s="86" t="inlineStr">
        <is>
          <t>Fixed Assets &amp; CWIP Hotel Projects (أصول ثابتة ومشروعات فنادق)</t>
        </is>
      </c>
      <c r="B24" s="87" t="inlineStr">
        <is>
          <t>FA_CWIP</t>
        </is>
      </c>
      <c r="C24" s="88" t="n">
        <v>31200000</v>
      </c>
      <c r="D24" s="88" t="n">
        <v>36800000</v>
      </c>
      <c r="E24" s="88" t="n">
        <v>51200000</v>
      </c>
      <c r="F24" s="88" t="n">
        <v>81400000</v>
      </c>
      <c r="G24" s="88" t="n">
        <v>107500000</v>
      </c>
    </row>
    <row r="25">
      <c r="A25" s="86" t="inlineStr">
        <is>
          <t>Other Current &amp; Non-Current Assets (أصول أخرى)</t>
        </is>
      </c>
      <c r="B25" s="87" t="inlineStr">
        <is>
          <t>OTH_AST</t>
        </is>
      </c>
      <c r="C25" s="88" t="n">
        <v>3470000</v>
      </c>
      <c r="D25" s="88" t="n">
        <v>3920000</v>
      </c>
      <c r="E25" s="88" t="n">
        <v>4620000</v>
      </c>
      <c r="F25" s="88" t="n">
        <v>6200000</v>
      </c>
      <c r="G25" s="88" t="n">
        <v>8000000</v>
      </c>
    </row>
    <row r="26">
      <c r="A26" s="90" t="inlineStr">
        <is>
          <t>Total Assets (إجمالي الأصول المجمعة)</t>
        </is>
      </c>
      <c r="B26" s="91" t="inlineStr">
        <is>
          <t>TOT_AST</t>
        </is>
      </c>
      <c r="C26" s="92">
        <f>SUM(C20:C25)</f>
        <v/>
      </c>
      <c r="D26" s="92">
        <f>SUM(D20:D25)</f>
        <v/>
      </c>
      <c r="E26" s="92">
        <f>SUM(E20:E25)</f>
        <v/>
      </c>
      <c r="F26" s="92">
        <f>SUM(F20:F25)</f>
        <v/>
      </c>
      <c r="G26" s="92">
        <f>SUM(G20:G25)</f>
        <v/>
      </c>
    </row>
    <row r="27">
      <c r="B27" s="93" t="n"/>
    </row>
    <row r="28">
      <c r="A28" s="94" t="inlineStr">
        <is>
          <t>LIABILITIES &amp; SHAREHOLDERS' EQUITY (الالتزامات وحقوق الملكية)</t>
        </is>
      </c>
    </row>
    <row r="29">
      <c r="A29" s="86" t="inlineStr">
        <is>
          <t>Bank Overdrafts &amp; Short-term Credit Lines (تسهيلات بنكية قصيرة الأجل)</t>
        </is>
      </c>
      <c r="B29" s="87" t="inlineStr">
        <is>
          <t>ST_LOANS</t>
        </is>
      </c>
      <c r="C29" s="88" t="n">
        <v>3800000</v>
      </c>
      <c r="D29" s="88" t="n">
        <v>4500000</v>
      </c>
      <c r="E29" s="88" t="n">
        <v>6200000</v>
      </c>
      <c r="F29" s="88" t="n">
        <v>8900000</v>
      </c>
      <c r="G29" s="88" t="n">
        <v>11200000</v>
      </c>
    </row>
    <row r="30">
      <c r="A30" s="86" t="inlineStr">
        <is>
          <t>Trade and Notes Payable - Subcontractors (أوراق الدفع والمقاولين)</t>
        </is>
      </c>
      <c r="B30" s="87" t="inlineStr">
        <is>
          <t>NOTES_PAY</t>
        </is>
      </c>
      <c r="C30" s="88" t="n">
        <v>5120000</v>
      </c>
      <c r="D30" s="88" t="n">
        <v>7300000</v>
      </c>
      <c r="E30" s="88" t="n">
        <v>9800000</v>
      </c>
      <c r="F30" s="88" t="n">
        <v>13500000</v>
      </c>
      <c r="G30" s="88" t="n">
        <v>15790000</v>
      </c>
    </row>
    <row r="31">
      <c r="A31" s="86" t="inlineStr">
        <is>
          <t>Customer Advances &amp; Unearned Float (دفعات مقدمة من العملاء)</t>
        </is>
      </c>
      <c r="B31" s="87" t="inlineStr">
        <is>
          <t>CUST_ADV</t>
        </is>
      </c>
      <c r="C31" s="88" t="n">
        <v>38500000</v>
      </c>
      <c r="D31" s="88" t="n">
        <v>48200000</v>
      </c>
      <c r="E31" s="88" t="n">
        <v>72000000</v>
      </c>
      <c r="F31" s="88" t="n">
        <v>95000000</v>
      </c>
      <c r="G31" s="88" t="n">
        <v>117680000</v>
      </c>
    </row>
    <row r="32">
      <c r="A32" s="86" t="inlineStr">
        <is>
          <t>Long-term Bank Debt (قروض بنكية وتسهيلات طويلة الأجل)</t>
        </is>
      </c>
      <c r="B32" s="87" t="inlineStr">
        <is>
          <t>LT_DEBT</t>
        </is>
      </c>
      <c r="C32" s="88" t="n">
        <v>8200000</v>
      </c>
      <c r="D32" s="88" t="n">
        <v>9800000</v>
      </c>
      <c r="E32" s="88" t="n">
        <v>14500000</v>
      </c>
      <c r="F32" s="88" t="n">
        <v>19800000</v>
      </c>
      <c r="G32" s="88" t="n">
        <v>26500000</v>
      </c>
    </row>
    <row r="33">
      <c r="A33" s="86" t="inlineStr">
        <is>
          <t>Financial Lease Obligations - Off Balance (التزامات التأجير التمويلي)</t>
        </is>
      </c>
      <c r="B33" s="87" t="inlineStr">
        <is>
          <t>LEASE_DEBT</t>
        </is>
      </c>
      <c r="C33" s="88" t="n">
        <v>1200000</v>
      </c>
      <c r="D33" s="88" t="n">
        <v>2100000</v>
      </c>
      <c r="E33" s="88" t="n">
        <v>4800000</v>
      </c>
      <c r="F33" s="88" t="n">
        <v>22100000</v>
      </c>
      <c r="G33" s="88" t="n">
        <v>34400000</v>
      </c>
    </row>
    <row r="34">
      <c r="A34" s="86" t="inlineStr">
        <is>
          <t>Other Liabilities &amp; Provisions (التزامات ومخصصات أخرى)</t>
        </is>
      </c>
      <c r="B34" s="87" t="inlineStr">
        <is>
          <t>OTH_LIAB</t>
        </is>
      </c>
      <c r="C34" s="88" t="n">
        <v>2140000</v>
      </c>
      <c r="D34" s="88" t="n">
        <v>2600000</v>
      </c>
      <c r="E34" s="88" t="n">
        <v>3630000</v>
      </c>
      <c r="F34" s="88" t="n">
        <v>4730000</v>
      </c>
      <c r="G34" s="88" t="n">
        <v>6830000</v>
      </c>
    </row>
    <row r="35">
      <c r="A35" s="83" t="inlineStr">
        <is>
          <t>Total Liabilities (إجمالي الالتزامات)</t>
        </is>
      </c>
      <c r="B35" s="84" t="inlineStr">
        <is>
          <t>TOT_LIAB</t>
        </is>
      </c>
      <c r="C35" s="89">
        <f>SUM(C29:C34)</f>
        <v/>
      </c>
      <c r="D35" s="89">
        <f>SUM(D29:D34)</f>
        <v/>
      </c>
      <c r="E35" s="89">
        <f>SUM(E29:E34)</f>
        <v/>
      </c>
      <c r="F35" s="89">
        <f>SUM(F29:F34)</f>
        <v/>
      </c>
      <c r="G35" s="89">
        <f>SUM(G29:G34)</f>
        <v/>
      </c>
    </row>
    <row r="36">
      <c r="B36" s="93" t="n"/>
    </row>
    <row r="37">
      <c r="A37" s="86" t="inlineStr">
        <is>
          <t>Paid-in Share Capital (رأس المال المصدر والمدفوع)</t>
        </is>
      </c>
      <c r="B37" s="87" t="inlineStr">
        <is>
          <t>CAPITAL</t>
        </is>
      </c>
      <c r="C37" s="88" t="n">
        <v>20635600</v>
      </c>
      <c r="D37" s="88" t="n">
        <v>20635600</v>
      </c>
      <c r="E37" s="88" t="n">
        <v>20635600</v>
      </c>
      <c r="F37" s="88" t="n">
        <v>20635600</v>
      </c>
      <c r="G37" s="88" t="n">
        <v>20635600</v>
      </c>
    </row>
    <row r="38">
      <c r="A38" s="86" t="inlineStr">
        <is>
          <t>Legal &amp; General Reserves (احتياطيات وفروق ترجمة)</t>
        </is>
      </c>
      <c r="B38" s="87" t="inlineStr">
        <is>
          <t>RESERVES</t>
        </is>
      </c>
      <c r="C38" s="88" t="n">
        <v>3450000</v>
      </c>
      <c r="D38" s="88" t="n">
        <v>4100000</v>
      </c>
      <c r="E38" s="88" t="n">
        <v>5200000</v>
      </c>
      <c r="F38" s="88" t="n">
        <v>7800000</v>
      </c>
      <c r="G38" s="88" t="n">
        <v>11500000</v>
      </c>
    </row>
    <row r="39">
      <c r="A39" s="86" t="inlineStr">
        <is>
          <t>Retained Earnings (أرباح مرحلة ومحتجزة)</t>
        </is>
      </c>
      <c r="B39" s="87" t="inlineStr">
        <is>
          <t>RET_EARN</t>
        </is>
      </c>
      <c r="C39" s="88" t="n">
        <v>28654900</v>
      </c>
      <c r="D39" s="88" t="n">
        <v>31164600</v>
      </c>
      <c r="E39" s="88" t="n">
        <v>42454400</v>
      </c>
      <c r="F39" s="88" t="n">
        <v>52834400</v>
      </c>
      <c r="G39" s="88" t="n">
        <v>68164400</v>
      </c>
    </row>
    <row r="40">
      <c r="A40" s="86" t="inlineStr">
        <is>
          <t>Non-Controlling Interests - ADQ ICON (الحصص غير المسيطرة)</t>
        </is>
      </c>
      <c r="B40" s="87" t="inlineStr">
        <is>
          <t>NCI_EQ</t>
        </is>
      </c>
      <c r="C40" s="88" t="n">
        <v>0</v>
      </c>
      <c r="D40" s="88" t="n">
        <v>0</v>
      </c>
      <c r="E40" s="88" t="n">
        <v>0</v>
      </c>
      <c r="F40" s="88" t="n">
        <v>33500000</v>
      </c>
      <c r="G40" s="88" t="n">
        <v>59500000</v>
      </c>
    </row>
    <row r="41">
      <c r="A41" s="83" t="inlineStr">
        <is>
          <t>Total Shareholders' Equity (إجمالي حقوق الملكية)</t>
        </is>
      </c>
      <c r="B41" s="84" t="inlineStr">
        <is>
          <t>TOT_EQUITY</t>
        </is>
      </c>
      <c r="C41" s="89">
        <f>SUM(C37:C40)</f>
        <v/>
      </c>
      <c r="D41" s="89">
        <f>SUM(D37:D40)</f>
        <v/>
      </c>
      <c r="E41" s="89">
        <f>SUM(E37:E40)</f>
        <v/>
      </c>
      <c r="F41" s="89">
        <f>SUM(F37:F40)</f>
        <v/>
      </c>
      <c r="G41" s="89">
        <f>SUM(G37:G40)</f>
        <v/>
      </c>
    </row>
    <row r="42">
      <c r="A42" s="90" t="inlineStr">
        <is>
          <t>Total Liabilities &amp; Equity (إجمالي الالتزامات وحقوق الملكية)</t>
        </is>
      </c>
      <c r="B42" s="91" t="inlineStr">
        <is>
          <t>TOT_EQ_LIAB</t>
        </is>
      </c>
      <c r="C42" s="92">
        <f>C35+C41</f>
        <v/>
      </c>
      <c r="D42" s="92">
        <f>D35+D41</f>
        <v/>
      </c>
      <c r="E42" s="92">
        <f>E35+E41</f>
        <v/>
      </c>
      <c r="F42" s="92">
        <f>F35+F41</f>
        <v/>
      </c>
      <c r="G42" s="92">
        <f>G35+G41</f>
        <v/>
      </c>
    </row>
    <row r="43">
      <c r="A43" s="95" t="inlineStr">
        <is>
          <t>BALANCE CHECK: Assets - (Liab + Equity) (فحص التوازن)</t>
        </is>
      </c>
      <c r="B43" s="96" t="inlineStr">
        <is>
          <t>CHECK</t>
        </is>
      </c>
      <c r="C43" s="97">
        <f>C26-C42</f>
        <v/>
      </c>
      <c r="D43" s="97">
        <f>D26-D42</f>
        <v/>
      </c>
      <c r="E43" s="97">
        <f>E26-E42</f>
        <v/>
      </c>
      <c r="F43" s="97">
        <f>F26-F42</f>
        <v/>
      </c>
      <c r="G43" s="97">
        <f>G26-G42</f>
        <v/>
      </c>
    </row>
  </sheetData>
  <mergeCells count="4">
    <mergeCell ref="A19:G19"/>
    <mergeCell ref="A2:G2"/>
    <mergeCell ref="A1:G1"/>
    <mergeCell ref="A28:G28"/>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20"/>
  <sheetViews>
    <sheetView showGridLines="1" workbookViewId="0">
      <selection activeCell="A1" sqref="A1"/>
    </sheetView>
  </sheetViews>
  <sheetFormatPr baseColWidth="8" defaultRowHeight="15" outlineLevelCol="0"/>
  <cols>
    <col width="48" customWidth="1" min="1" max="1"/>
    <col width="18" customWidth="1" min="2" max="2"/>
    <col width="18" customWidth="1" min="3" max="3"/>
    <col width="18" customWidth="1" min="4" max="4"/>
    <col width="18" customWidth="1" min="5" max="5"/>
    <col width="18" customWidth="1" min="6" max="6"/>
    <col width="22" customWidth="1" min="7" max="7"/>
  </cols>
  <sheetData>
    <row r="1">
      <c r="A1" s="98" t="inlineStr">
        <is>
          <t>Talaat Moustafa Group Holding — Source &amp; Uses Analysis (FY2024 vs FY2025)</t>
        </is>
      </c>
    </row>
    <row r="2">
      <c r="A2" s="99" t="inlineStr">
        <is>
          <t>Tracking Balance Sheet Dynamic Shifts &amp; Liquidity Deployment (Values in EGP '000)</t>
        </is>
      </c>
    </row>
    <row r="3">
      <c r="A3" s="100" t="inlineStr">
        <is>
          <t>Balance Sheet Line Item / بند الميزانية</t>
        </is>
      </c>
      <c r="B3" s="101" t="inlineStr">
        <is>
          <t>At Dec 31, 2024</t>
        </is>
      </c>
      <c r="C3" s="101" t="inlineStr">
        <is>
          <t>At Dec 31, 2025</t>
        </is>
      </c>
      <c r="D3" s="101" t="inlineStr">
        <is>
          <t>Change (التغير)</t>
        </is>
      </c>
      <c r="E3" s="101" t="inlineStr">
        <is>
          <t>Source (مصدر نقد)</t>
        </is>
      </c>
      <c r="F3" s="101" t="inlineStr">
        <is>
          <t>Use (استخدام سيولة)</t>
        </is>
      </c>
      <c r="G3" s="101" t="inlineStr">
        <is>
          <t>Classification</t>
        </is>
      </c>
    </row>
    <row r="4">
      <c r="A4" s="86" t="inlineStr">
        <is>
          <t>Cash and Cash Equivalents (نقدية وما في حكمها)</t>
        </is>
      </c>
      <c r="B4" s="88">
        <f>'Financial statement'!F20</f>
        <v/>
      </c>
      <c r="C4" s="88">
        <f>'Financial statement'!G20</f>
        <v/>
      </c>
      <c r="D4" s="88">
        <f>C4-B4</f>
        <v/>
      </c>
      <c r="E4" s="88">
        <f>IF(D4&lt;0, -D4, 0)</f>
        <v/>
      </c>
      <c r="F4" s="88">
        <f>IF(D4&gt;0, D4, 0)</f>
        <v/>
      </c>
      <c r="G4" s="84">
        <f>IF(E4&gt;0, "Source (مصدر)", "Use (استخدام)")</f>
        <v/>
      </c>
    </row>
    <row r="5">
      <c r="A5" s="86" t="inlineStr">
        <is>
          <t>Accounts and Notes Receivable (المدينون وأوراق القبض)</t>
        </is>
      </c>
      <c r="B5" s="88">
        <f>'Financial statement'!F21</f>
        <v/>
      </c>
      <c r="C5" s="88">
        <f>'Financial statement'!G21</f>
        <v/>
      </c>
      <c r="D5" s="88">
        <f>C5-B5</f>
        <v/>
      </c>
      <c r="E5" s="88">
        <f>IF(D5&lt;0, -D5, 0)</f>
        <v/>
      </c>
      <c r="F5" s="88">
        <f>IF(D5&gt;0, D5, 0)</f>
        <v/>
      </c>
      <c r="G5" s="84">
        <f>IF(E5&gt;0, "Source (مصدر)", "Use (استخدام)")</f>
        <v/>
      </c>
    </row>
    <row r="6">
      <c r="A6" s="86" t="inlineStr">
        <is>
          <t>Real Estate Work in Progress (مشروعات قيد التنفيذ)</t>
        </is>
      </c>
      <c r="B6" s="88">
        <f>'Financial statement'!F22</f>
        <v/>
      </c>
      <c r="C6" s="88">
        <f>'Financial statement'!G22</f>
        <v/>
      </c>
      <c r="D6" s="88">
        <f>C6-B6</f>
        <v/>
      </c>
      <c r="E6" s="88">
        <f>IF(D6&lt;0, -D6, 0)</f>
        <v/>
      </c>
      <c r="F6" s="88">
        <f>IF(D6&gt;0, D6, 0)</f>
        <v/>
      </c>
      <c r="G6" s="84">
        <f>IF(E6&gt;0, "Source (مصدر)", "Use (استخدام)")</f>
        <v/>
      </c>
    </row>
    <row r="7">
      <c r="A7" s="86" t="inlineStr">
        <is>
          <t>Financial Investments (استثمارات مالية وأذون)</t>
        </is>
      </c>
      <c r="B7" s="88">
        <f>'Financial statement'!F23</f>
        <v/>
      </c>
      <c r="C7" s="88">
        <f>'Financial statement'!G23</f>
        <v/>
      </c>
      <c r="D7" s="88">
        <f>C7-B7</f>
        <v/>
      </c>
      <c r="E7" s="88">
        <f>IF(D7&lt;0, -D7, 0)</f>
        <v/>
      </c>
      <c r="F7" s="88">
        <f>IF(D7&gt;0, D7, 0)</f>
        <v/>
      </c>
      <c r="G7" s="84">
        <f>IF(E7&gt;0, "Source (مصدر)", "Use (استخدام)")</f>
        <v/>
      </c>
    </row>
    <row r="8">
      <c r="A8" s="86" t="inlineStr">
        <is>
          <t>Fixed Assets &amp; CWIP (أصول ثابتة ومشروعات فنادق)</t>
        </is>
      </c>
      <c r="B8" s="88">
        <f>'Financial statement'!F24</f>
        <v/>
      </c>
      <c r="C8" s="88">
        <f>'Financial statement'!G24</f>
        <v/>
      </c>
      <c r="D8" s="88">
        <f>C8-B8</f>
        <v/>
      </c>
      <c r="E8" s="88">
        <f>IF(D8&lt;0, -D8, 0)</f>
        <v/>
      </c>
      <c r="F8" s="88">
        <f>IF(D8&gt;0, D8, 0)</f>
        <v/>
      </c>
      <c r="G8" s="84">
        <f>IF(E8&gt;0, "Source (مصدر)", "Use (استخدام)")</f>
        <v/>
      </c>
    </row>
    <row r="9">
      <c r="A9" s="86" t="inlineStr">
        <is>
          <t>Other Assets (أصول أخرى)</t>
        </is>
      </c>
      <c r="B9" s="88">
        <f>'Financial statement'!F25</f>
        <v/>
      </c>
      <c r="C9" s="88">
        <f>'Financial statement'!G25</f>
        <v/>
      </c>
      <c r="D9" s="88">
        <f>C9-B9</f>
        <v/>
      </c>
      <c r="E9" s="88">
        <f>IF(D9&lt;0, -D9, 0)</f>
        <v/>
      </c>
      <c r="F9" s="88">
        <f>IF(D9&gt;0, D9, 0)</f>
        <v/>
      </c>
      <c r="G9" s="84">
        <f>IF(E9&gt;0, "Source (مصدر)", "Use (استخدام)")</f>
        <v/>
      </c>
    </row>
    <row r="10">
      <c r="A10" s="86" t="inlineStr">
        <is>
          <t>Bank Overdrafts &amp; Short-term Credit Lines (تسهيلات بنكية)</t>
        </is>
      </c>
      <c r="B10" s="88">
        <f>'Financial statement'!F29</f>
        <v/>
      </c>
      <c r="C10" s="88">
        <f>'Financial statement'!G29</f>
        <v/>
      </c>
      <c r="D10" s="88">
        <f>C10-B10</f>
        <v/>
      </c>
      <c r="E10" s="88">
        <f>IF(D10&gt;0, D10, 0)</f>
        <v/>
      </c>
      <c r="F10" s="88">
        <f>IF(D10&lt;0, -D10, 0)</f>
        <v/>
      </c>
      <c r="G10" s="84">
        <f>IF(E10&gt;0, "Source (مصدر)", "Use (استخدام)")</f>
        <v/>
      </c>
    </row>
    <row r="11">
      <c r="A11" s="86" t="inlineStr">
        <is>
          <t>Trade and Notes Payable (أوراق دفع ومقاولين)</t>
        </is>
      </c>
      <c r="B11" s="88">
        <f>'Financial statement'!F30</f>
        <v/>
      </c>
      <c r="C11" s="88">
        <f>'Financial statement'!G30</f>
        <v/>
      </c>
      <c r="D11" s="88">
        <f>C11-B11</f>
        <v/>
      </c>
      <c r="E11" s="88">
        <f>IF(D11&gt;0, D11, 0)</f>
        <v/>
      </c>
      <c r="F11" s="88">
        <f>IF(D11&lt;0, -D11, 0)</f>
        <v/>
      </c>
      <c r="G11" s="84">
        <f>IF(E11&gt;0, "Source (مصدر)", "Use (استخدام)")</f>
        <v/>
      </c>
    </row>
    <row r="12">
      <c r="A12" s="86" t="inlineStr">
        <is>
          <t>Customer Advances (دفعات مقدمة من العملاء)</t>
        </is>
      </c>
      <c r="B12" s="88">
        <f>'Financial statement'!F31</f>
        <v/>
      </c>
      <c r="C12" s="88">
        <f>'Financial statement'!G31</f>
        <v/>
      </c>
      <c r="D12" s="88">
        <f>C12-B12</f>
        <v/>
      </c>
      <c r="E12" s="88">
        <f>IF(D12&gt;0, D12, 0)</f>
        <v/>
      </c>
      <c r="F12" s="88">
        <f>IF(D12&lt;0, -D12, 0)</f>
        <v/>
      </c>
      <c r="G12" s="84">
        <f>IF(E12&gt;0, "Source (مصدر)", "Use (استخدام)")</f>
        <v/>
      </c>
    </row>
    <row r="13">
      <c r="A13" s="86" t="inlineStr">
        <is>
          <t>Long-term Bank Debt (قروض بنكية طويلة الأجل)</t>
        </is>
      </c>
      <c r="B13" s="88">
        <f>'Financial statement'!F32</f>
        <v/>
      </c>
      <c r="C13" s="88">
        <f>'Financial statement'!G32</f>
        <v/>
      </c>
      <c r="D13" s="88">
        <f>C13-B13</f>
        <v/>
      </c>
      <c r="E13" s="88">
        <f>IF(D13&gt;0, D13, 0)</f>
        <v/>
      </c>
      <c r="F13" s="88">
        <f>IF(D13&lt;0, -D13, 0)</f>
        <v/>
      </c>
      <c r="G13" s="84">
        <f>IF(E13&gt;0, "Source (مصدر)", "Use (استخدام)")</f>
        <v/>
      </c>
    </row>
    <row r="14">
      <c r="A14" s="86" t="inlineStr">
        <is>
          <t>Financial Lease Obligations (التزامات التأجير التمويلي)</t>
        </is>
      </c>
      <c r="B14" s="88">
        <f>'Financial statement'!F33</f>
        <v/>
      </c>
      <c r="C14" s="88">
        <f>'Financial statement'!G33</f>
        <v/>
      </c>
      <c r="D14" s="88">
        <f>C14-B14</f>
        <v/>
      </c>
      <c r="E14" s="88">
        <f>IF(D14&gt;0, D14, 0)</f>
        <v/>
      </c>
      <c r="F14" s="88">
        <f>IF(D14&lt;0, -D14, 0)</f>
        <v/>
      </c>
      <c r="G14" s="84">
        <f>IF(E14&gt;0, "Source (مصدر)", "Use (استخدام)")</f>
        <v/>
      </c>
    </row>
    <row r="15">
      <c r="A15" s="86" t="inlineStr">
        <is>
          <t>Other Liabilities &amp; Provisions (التزامات ومخصصات أخرى)</t>
        </is>
      </c>
      <c r="B15" s="88">
        <f>'Financial statement'!F34</f>
        <v/>
      </c>
      <c r="C15" s="88">
        <f>'Financial statement'!G34</f>
        <v/>
      </c>
      <c r="D15" s="88">
        <f>C15-B15</f>
        <v/>
      </c>
      <c r="E15" s="88">
        <f>IF(D15&gt;0, D15, 0)</f>
        <v/>
      </c>
      <c r="F15" s="88">
        <f>IF(D15&lt;0, -D15, 0)</f>
        <v/>
      </c>
      <c r="G15" s="84">
        <f>IF(E15&gt;0, "Source (مصدر)", "Use (استخدام)")</f>
        <v/>
      </c>
    </row>
    <row r="16">
      <c r="A16" s="86" t="inlineStr">
        <is>
          <t>Share Capital (رأس المال المصدر)</t>
        </is>
      </c>
      <c r="B16" s="88">
        <f>'Financial statement'!F37</f>
        <v/>
      </c>
      <c r="C16" s="88">
        <f>'Financial statement'!G37</f>
        <v/>
      </c>
      <c r="D16" s="88">
        <f>C16-B16</f>
        <v/>
      </c>
      <c r="E16" s="88">
        <f>IF(D16&gt;0, D16, 0)</f>
        <v/>
      </c>
      <c r="F16" s="88">
        <f>IF(D16&lt;0, -D16, 0)</f>
        <v/>
      </c>
      <c r="G16" s="84">
        <f>IF(E16&gt;0, "Source (مصدر)", "Use (استخدام)")</f>
        <v/>
      </c>
    </row>
    <row r="17">
      <c r="A17" s="86" t="inlineStr">
        <is>
          <t>Reserves &amp; Translation Differences (احتياطيات وفروق ترجمة)</t>
        </is>
      </c>
      <c r="B17" s="88">
        <f>'Financial statement'!F38</f>
        <v/>
      </c>
      <c r="C17" s="88">
        <f>'Financial statement'!G38</f>
        <v/>
      </c>
      <c r="D17" s="88">
        <f>C17-B17</f>
        <v/>
      </c>
      <c r="E17" s="88">
        <f>IF(D17&gt;0, D17, 0)</f>
        <v/>
      </c>
      <c r="F17" s="88">
        <f>IF(D17&lt;0, -D17, 0)</f>
        <v/>
      </c>
      <c r="G17" s="84">
        <f>IF(E17&gt;0, "Source (مصدر)", "Use (استخدام)")</f>
        <v/>
      </c>
    </row>
    <row r="18">
      <c r="A18" s="86" t="inlineStr">
        <is>
          <t>Retained Earnings (أرباح مرحلة محتجزة)</t>
        </is>
      </c>
      <c r="B18" s="88">
        <f>'Financial statement'!F39</f>
        <v/>
      </c>
      <c r="C18" s="88">
        <f>'Financial statement'!G39</f>
        <v/>
      </c>
      <c r="D18" s="88">
        <f>C18-B18</f>
        <v/>
      </c>
      <c r="E18" s="88">
        <f>IF(D18&gt;0, D18, 0)</f>
        <v/>
      </c>
      <c r="F18" s="88">
        <f>IF(D18&lt;0, -D18, 0)</f>
        <v/>
      </c>
      <c r="G18" s="84">
        <f>IF(E18&gt;0, "Source (مصدر)", "Use (استخدام)")</f>
        <v/>
      </c>
    </row>
    <row r="19">
      <c r="A19" s="86" t="inlineStr">
        <is>
          <t>Non-Controlling Interests / ADQ ICON (حصص غير مسيطرة)</t>
        </is>
      </c>
      <c r="B19" s="88">
        <f>'Financial statement'!F40</f>
        <v/>
      </c>
      <c r="C19" s="88">
        <f>'Financial statement'!G40</f>
        <v/>
      </c>
      <c r="D19" s="88">
        <f>C19-B19</f>
        <v/>
      </c>
      <c r="E19" s="88">
        <f>IF(D19&gt;0, D19, 0)</f>
        <v/>
      </c>
      <c r="F19" s="88">
        <f>IF(D19&lt;0, -D19, 0)</f>
        <v/>
      </c>
      <c r="G19" s="84">
        <f>IF(E19&gt;0, "Source (مصدر)", "Use (استخدام)")</f>
        <v/>
      </c>
    </row>
    <row r="20">
      <c r="A20" s="102" t="inlineStr">
        <is>
          <t>Total Sources &amp; Uses (إجمالي مصادر واستخدامات الأموال)</t>
        </is>
      </c>
      <c r="B20" s="103" t="n"/>
      <c r="C20" s="103" t="n"/>
      <c r="D20" s="103" t="n"/>
      <c r="E20" s="104">
        <f>SUM(E4:E19)</f>
        <v/>
      </c>
      <c r="F20" s="104">
        <f>SUM(F4:F19)</f>
        <v/>
      </c>
      <c r="G20" s="105">
        <f>IF(E20=F20, "Balanced ✓ (توازن تام)", "Variance")</f>
        <v/>
      </c>
    </row>
  </sheetData>
  <mergeCells count="2">
    <mergeCell ref="A2:G2"/>
    <mergeCell ref="A1:G1"/>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10"/>
  <sheetViews>
    <sheetView showGridLines="1" workbookViewId="0">
      <selection activeCell="A1" sqref="A1"/>
    </sheetView>
  </sheetViews>
  <sheetFormatPr baseColWidth="8" defaultRowHeight="15" outlineLevelCol="0"/>
  <cols>
    <col width="46" customWidth="1" min="1" max="1"/>
    <col width="17" customWidth="1" min="2" max="2"/>
    <col width="17" customWidth="1" min="3" max="3"/>
    <col width="17" customWidth="1" min="4" max="4"/>
    <col width="17" customWidth="1" min="5" max="5"/>
    <col width="17" customWidth="1" min="6" max="6"/>
    <col width="17" customWidth="1" min="7" max="7"/>
  </cols>
  <sheetData>
    <row r="1">
      <c r="A1" s="79" t="inlineStr">
        <is>
          <t>Talaat Moustafa Group Holding — Vertical Common Size Analysis (FY2023 – FY2025)</t>
        </is>
      </c>
    </row>
    <row r="2">
      <c r="A2" s="80" t="inlineStr">
        <is>
          <t>Income Statement as % of Total Sales &amp; Balance Sheet as % of Total Assets</t>
        </is>
      </c>
    </row>
    <row r="3">
      <c r="A3" s="81" t="inlineStr">
        <is>
          <t>Statement Line Item / البند المحاسبي</t>
        </is>
      </c>
      <c r="B3" s="82" t="inlineStr">
        <is>
          <t>FY2023 (EGP '000)</t>
        </is>
      </c>
      <c r="C3" s="82" t="inlineStr">
        <is>
          <t>% of Base (2023)</t>
        </is>
      </c>
      <c r="D3" s="82" t="inlineStr">
        <is>
          <t>FY2024 (EGP '000)</t>
        </is>
      </c>
      <c r="E3" s="82" t="inlineStr">
        <is>
          <t>% of Base (2024)</t>
        </is>
      </c>
      <c r="F3" s="82" t="inlineStr">
        <is>
          <t>FY2025 (EGP '000)</t>
        </is>
      </c>
      <c r="G3" s="82" t="inlineStr">
        <is>
          <t>% of Base (2025)</t>
        </is>
      </c>
    </row>
    <row r="4">
      <c r="A4" s="83" t="inlineStr">
        <is>
          <t>Sales Revenue (إجمالي الإيرادات)</t>
        </is>
      </c>
      <c r="B4" s="106">
        <f>'Financial statement'!E4</f>
        <v/>
      </c>
      <c r="C4" s="107">
        <f>B4/$B$4</f>
        <v/>
      </c>
      <c r="D4" s="106">
        <f>'Financial statement'!F4</f>
        <v/>
      </c>
      <c r="E4" s="107">
        <f>D4/$D$4</f>
        <v/>
      </c>
      <c r="F4" s="106">
        <f>'Financial statement'!G4</f>
        <v/>
      </c>
      <c r="G4" s="107">
        <f>F4/$F$4</f>
        <v/>
      </c>
    </row>
    <row r="5">
      <c r="A5" s="86" t="inlineStr">
        <is>
          <t>Cost of Goods Sold (تكلفة الإيرادات)</t>
        </is>
      </c>
      <c r="B5" s="88">
        <f>'Financial statement'!E5</f>
        <v/>
      </c>
      <c r="C5" s="108">
        <f>B5/$B$4</f>
        <v/>
      </c>
      <c r="D5" s="88">
        <f>'Financial statement'!F5</f>
        <v/>
      </c>
      <c r="E5" s="108">
        <f>D5/$D$4</f>
        <v/>
      </c>
      <c r="F5" s="88">
        <f>'Financial statement'!G5</f>
        <v/>
      </c>
      <c r="G5" s="108">
        <f>F5/$F$4</f>
        <v/>
      </c>
    </row>
    <row r="6">
      <c r="A6" s="83" t="inlineStr">
        <is>
          <t>Gross Profit (مجمل الربح)</t>
        </is>
      </c>
      <c r="B6" s="106">
        <f>'Financial statement'!E6</f>
        <v/>
      </c>
      <c r="C6" s="107">
        <f>B6/$B$4</f>
        <v/>
      </c>
      <c r="D6" s="106">
        <f>'Financial statement'!F6</f>
        <v/>
      </c>
      <c r="E6" s="107">
        <f>D6/$D$4</f>
        <v/>
      </c>
      <c r="F6" s="106">
        <f>'Financial statement'!G6</f>
        <v/>
      </c>
      <c r="G6" s="107">
        <f>F6/$F$4</f>
        <v/>
      </c>
    </row>
    <row r="7">
      <c r="A7" s="86" t="inlineStr">
        <is>
          <t>Selling, General &amp; Admin (مصروفات إدارية وعمومية)</t>
        </is>
      </c>
      <c r="B7" s="88">
        <f>'Financial statement'!E7</f>
        <v/>
      </c>
      <c r="C7" s="108">
        <f>B7/$B$4</f>
        <v/>
      </c>
      <c r="D7" s="88">
        <f>'Financial statement'!F7</f>
        <v/>
      </c>
      <c r="E7" s="108">
        <f>D7/$D$4</f>
        <v/>
      </c>
      <c r="F7" s="88">
        <f>'Financial statement'!G7</f>
        <v/>
      </c>
      <c r="G7" s="108">
        <f>F7/$F$4</f>
        <v/>
      </c>
    </row>
    <row r="8">
      <c r="A8" s="83" t="inlineStr">
        <is>
          <t>Operating Profit / EBIT (أرباح التشغيل)</t>
        </is>
      </c>
      <c r="B8" s="106">
        <f>'Financial statement'!E9</f>
        <v/>
      </c>
      <c r="C8" s="107">
        <f>B8/$B$4</f>
        <v/>
      </c>
      <c r="D8" s="106">
        <f>'Financial statement'!F9</f>
        <v/>
      </c>
      <c r="E8" s="107">
        <f>D8/$D$4</f>
        <v/>
      </c>
      <c r="F8" s="106">
        <f>'Financial statement'!G9</f>
        <v/>
      </c>
      <c r="G8" s="107">
        <f>F8/$F$4</f>
        <v/>
      </c>
    </row>
    <row r="9">
      <c r="A9" s="86" t="inlineStr">
        <is>
          <t>Finance Costs / Interest (الأعباء التمويلية)</t>
        </is>
      </c>
      <c r="B9" s="88">
        <f>'Financial statement'!E10</f>
        <v/>
      </c>
      <c r="C9" s="108">
        <f>B9/$B$4</f>
        <v/>
      </c>
      <c r="D9" s="88">
        <f>'Financial statement'!F10</f>
        <v/>
      </c>
      <c r="E9" s="108">
        <f>D9/$D$4</f>
        <v/>
      </c>
      <c r="F9" s="88">
        <f>'Financial statement'!G10</f>
        <v/>
      </c>
      <c r="G9" s="108">
        <f>F9/$F$4</f>
        <v/>
      </c>
    </row>
    <row r="10">
      <c r="A10" s="83" t="inlineStr">
        <is>
          <t>Net Profit After Taxes (صافي الربح المجمع)</t>
        </is>
      </c>
      <c r="B10" s="106">
        <f>'Financial statement'!E15</f>
        <v/>
      </c>
      <c r="C10" s="107">
        <f>B10/$B$4</f>
        <v/>
      </c>
      <c r="D10" s="106">
        <f>'Financial statement'!F15</f>
        <v/>
      </c>
      <c r="E10" s="107">
        <f>D10/$D$4</f>
        <v/>
      </c>
      <c r="F10" s="106">
        <f>'Financial statement'!G15</f>
        <v/>
      </c>
      <c r="G10" s="107">
        <f>F10/$F$4</f>
        <v/>
      </c>
    </row>
  </sheetData>
  <mergeCells count="2">
    <mergeCell ref="A2:G2"/>
    <mergeCell ref="A1:G1"/>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7"/>
  <sheetViews>
    <sheetView showGridLines="1" workbookViewId="0">
      <selection activeCell="A1" sqref="A1"/>
    </sheetView>
  </sheetViews>
  <sheetFormatPr baseColWidth="8" defaultRowHeight="15" outlineLevelCol="0"/>
  <cols>
    <col width="46" customWidth="1" min="1" max="1"/>
    <col width="16" customWidth="1" min="2" max="2"/>
    <col width="15" customWidth="1" min="3" max="3"/>
    <col width="15" customWidth="1" min="4" max="4"/>
    <col width="15" customWidth="1" min="5" max="5"/>
    <col width="15" customWidth="1" min="6" max="6"/>
    <col width="15" customWidth="1" min="7" max="7"/>
  </cols>
  <sheetData>
    <row r="1">
      <c r="A1" s="98" t="inlineStr">
        <is>
          <t>Talaat Moustafa Group Holding — Construction CFO Strategic Ratio Scorecard (FY21 – FY25)</t>
        </is>
      </c>
    </row>
    <row r="2">
      <c r="A2" s="99" t="inlineStr">
        <is>
          <t>Audited Forensic Metrics: Liquidity, Working Capital Cycles, Off-Balance Leases &amp; Subcontractor Exposure</t>
        </is>
      </c>
    </row>
    <row r="3">
      <c r="A3" s="100" t="inlineStr">
        <is>
          <t>Metric / Ratio Classification</t>
        </is>
      </c>
      <c r="B3" s="101" t="inlineStr">
        <is>
          <t>Target Norm</t>
        </is>
      </c>
      <c r="C3" s="101" t="inlineStr">
        <is>
          <t>FY2021</t>
        </is>
      </c>
      <c r="D3" s="101" t="inlineStr">
        <is>
          <t>FY2022</t>
        </is>
      </c>
      <c r="E3" s="101" t="inlineStr">
        <is>
          <t>FY2023</t>
        </is>
      </c>
      <c r="F3" s="101" t="inlineStr">
        <is>
          <t>FY2024</t>
        </is>
      </c>
      <c r="G3" s="101" t="inlineStr">
        <is>
          <t>FY2025</t>
        </is>
      </c>
    </row>
    <row r="4">
      <c r="A4" s="83" t="inlineStr">
        <is>
          <t>Current Ratio (النسبة الجارية)</t>
        </is>
      </c>
      <c r="B4" s="87" t="inlineStr">
        <is>
          <t>1.2x - 1.5x</t>
        </is>
      </c>
      <c r="C4" s="109" t="inlineStr">
        <is>
          <t>1.54</t>
        </is>
      </c>
      <c r="D4" s="109" t="inlineStr">
        <is>
          <t>1.58</t>
        </is>
      </c>
      <c r="E4" s="109" t="inlineStr">
        <is>
          <t>1.49</t>
        </is>
      </c>
      <c r="F4" s="109" t="inlineStr">
        <is>
          <t>1.54</t>
        </is>
      </c>
      <c r="G4" s="109" t="inlineStr">
        <is>
          <t>1.63</t>
        </is>
      </c>
    </row>
    <row r="5">
      <c r="A5" s="83" t="inlineStr">
        <is>
          <t>Quick Ratio (Acid-Test بدون مخزون)</t>
        </is>
      </c>
      <c r="B5" s="87" t="inlineStr">
        <is>
          <t>&gt; 0.8x</t>
        </is>
      </c>
      <c r="C5" s="109" t="inlineStr">
        <is>
          <t>0.60</t>
        </is>
      </c>
      <c r="D5" s="109" t="inlineStr">
        <is>
          <t>0.54</t>
        </is>
      </c>
      <c r="E5" s="109" t="inlineStr">
        <is>
          <t>0.57</t>
        </is>
      </c>
      <c r="F5" s="109" t="inlineStr">
        <is>
          <t>0.67</t>
        </is>
      </c>
      <c r="G5" s="109" t="inlineStr">
        <is>
          <t>0.73</t>
        </is>
      </c>
    </row>
    <row r="6">
      <c r="A6" s="83" t="inlineStr">
        <is>
          <t>Cash Ratio (نسبة النقدية الفورية)</t>
        </is>
      </c>
      <c r="B6" s="87" t="inlineStr">
        <is>
          <t>&gt; 0.2x</t>
        </is>
      </c>
      <c r="C6" s="109" t="inlineStr">
        <is>
          <t>0.09</t>
        </is>
      </c>
      <c r="D6" s="109" t="inlineStr">
        <is>
          <t>0.08</t>
        </is>
      </c>
      <c r="E6" s="109" t="inlineStr">
        <is>
          <t>0.13</t>
        </is>
      </c>
      <c r="F6" s="109" t="inlineStr">
        <is>
          <t>0.27</t>
        </is>
      </c>
      <c r="G6" s="109" t="inlineStr">
        <is>
          <t>0.28</t>
        </is>
      </c>
    </row>
    <row r="7">
      <c r="A7" s="83" t="inlineStr">
        <is>
          <t>Days Payable Outstanding - DPO (فترة سداد الموردين)</t>
        </is>
      </c>
      <c r="B7" s="87" t="inlineStr">
        <is>
          <t>60-90 days</t>
        </is>
      </c>
      <c r="C7" s="110" t="inlineStr">
        <is>
          <t>—</t>
        </is>
      </c>
      <c r="D7" s="110" t="inlineStr">
        <is>
          <t>134 days</t>
        </is>
      </c>
      <c r="E7" s="110" t="inlineStr">
        <is>
          <t>141 days</t>
        </is>
      </c>
      <c r="F7" s="110" t="inlineStr">
        <is>
          <t>138 days</t>
        </is>
      </c>
      <c r="G7" s="110" t="inlineStr">
        <is>
          <t>160 days</t>
        </is>
      </c>
    </row>
    <row r="8">
      <c r="A8" s="83" t="inlineStr">
        <is>
          <t>Days Sales Inventory - DSI (فترة دوران المخزون)</t>
        </is>
      </c>
      <c r="B8" s="87" t="inlineStr">
        <is>
          <t>360-720d</t>
        </is>
      </c>
      <c r="C8" s="109" t="inlineStr">
        <is>
          <t>1,659d</t>
        </is>
      </c>
      <c r="D8" s="109" t="inlineStr">
        <is>
          <t>1,490d</t>
        </is>
      </c>
      <c r="E8" s="109" t="inlineStr">
        <is>
          <t>1,372d</t>
        </is>
      </c>
      <c r="F8" s="109" t="inlineStr">
        <is>
          <t>1,194d</t>
        </is>
      </c>
      <c r="G8" s="109" t="inlineStr">
        <is>
          <t>1,214d</t>
        </is>
      </c>
    </row>
    <row r="9">
      <c r="A9" s="83" t="inlineStr">
        <is>
          <t>Days Sales Outstanding - DSO (فترة تحصيل العملاء)</t>
        </is>
      </c>
      <c r="B9" s="87" t="inlineStr">
        <is>
          <t>90-180d</t>
        </is>
      </c>
      <c r="C9" s="109" t="inlineStr">
        <is>
          <t>582d</t>
        </is>
      </c>
      <c r="D9" s="109" t="inlineStr">
        <is>
          <t>525d</t>
        </is>
      </c>
      <c r="E9" s="109" t="inlineStr">
        <is>
          <t>467d</t>
        </is>
      </c>
      <c r="F9" s="109" t="inlineStr">
        <is>
          <t>375d</t>
        </is>
      </c>
      <c r="G9" s="109" t="inlineStr">
        <is>
          <t>367d</t>
        </is>
      </c>
    </row>
    <row r="10">
      <c r="A10" s="83" t="inlineStr">
        <is>
          <t>Cash Conversion Cycle - CCC (دورة التحويل النقدي)</t>
        </is>
      </c>
      <c r="B10" s="87" t="inlineStr">
        <is>
          <t>—</t>
        </is>
      </c>
      <c r="C10" s="109" t="inlineStr">
        <is>
          <t>—</t>
        </is>
      </c>
      <c r="D10" s="109" t="inlineStr">
        <is>
          <t>1,881d</t>
        </is>
      </c>
      <c r="E10" s="109" t="inlineStr">
        <is>
          <t>1,698d</t>
        </is>
      </c>
      <c r="F10" s="109" t="inlineStr">
        <is>
          <t>1,431d</t>
        </is>
      </c>
      <c r="G10" s="109" t="inlineStr">
        <is>
          <t>1,421d</t>
        </is>
      </c>
    </row>
    <row r="11">
      <c r="A11" s="83" t="inlineStr">
        <is>
          <t>Debt to Equity Ratio (الدين إلى الملكية)</t>
        </is>
      </c>
      <c r="B11" s="87" t="inlineStr">
        <is>
          <t>&lt; 1.5x</t>
        </is>
      </c>
      <c r="C11" s="109" t="inlineStr">
        <is>
          <t>1.12</t>
        </is>
      </c>
      <c r="D11" s="109" t="inlineStr">
        <is>
          <t>1.33</t>
        </is>
      </c>
      <c r="E11" s="109" t="inlineStr">
        <is>
          <t>1.62</t>
        </is>
      </c>
      <c r="F11" s="109" t="inlineStr">
        <is>
          <t>1.43</t>
        </is>
      </c>
      <c r="G11" s="109" t="inlineStr">
        <is>
          <t>1.33</t>
        </is>
      </c>
    </row>
    <row r="12">
      <c r="A12" s="83" t="inlineStr">
        <is>
          <t>Interest Coverage Ratio - ICR (تغطية الفوائد)</t>
        </is>
      </c>
      <c r="B12" s="87" t="inlineStr">
        <is>
          <t>&gt; 3.0x</t>
        </is>
      </c>
      <c r="C12" s="110" t="inlineStr">
        <is>
          <t>4.02x</t>
        </is>
      </c>
      <c r="D12" s="110" t="inlineStr">
        <is>
          <t>3.73x</t>
        </is>
      </c>
      <c r="E12" s="110" t="inlineStr">
        <is>
          <t>3.74x</t>
        </is>
      </c>
      <c r="F12" s="110" t="inlineStr">
        <is>
          <t>3.20x</t>
        </is>
      </c>
      <c r="G12" s="110" t="inlineStr">
        <is>
          <t>3.09x</t>
        </is>
      </c>
    </row>
    <row r="13">
      <c r="A13" s="83" t="inlineStr">
        <is>
          <t>Off-Balance Financial Leases (التأجير التمويلي)</t>
        </is>
      </c>
      <c r="B13" s="87" t="inlineStr">
        <is>
          <t>Minimal</t>
        </is>
      </c>
      <c r="C13" s="110" t="inlineStr">
        <is>
          <t>1.20 B</t>
        </is>
      </c>
      <c r="D13" s="110" t="inlineStr">
        <is>
          <t>2.10 B</t>
        </is>
      </c>
      <c r="E13" s="110" t="inlineStr">
        <is>
          <t>4.80 B</t>
        </is>
      </c>
      <c r="F13" s="110" t="inlineStr">
        <is>
          <t>22.10 B</t>
        </is>
      </c>
      <c r="G13" s="110" t="inlineStr">
        <is>
          <t>34.40 B</t>
        </is>
      </c>
    </row>
    <row r="14">
      <c r="A14" s="83" t="inlineStr">
        <is>
          <t>Gross Profit Margin (هامش مجمل الربح)</t>
        </is>
      </c>
      <c r="B14" s="87" t="inlineStr">
        <is>
          <t>&gt; 30%</t>
        </is>
      </c>
      <c r="C14" s="111" t="inlineStr">
        <is>
          <t>33.0%</t>
        </is>
      </c>
      <c r="D14" s="111" t="inlineStr">
        <is>
          <t>33.2%</t>
        </is>
      </c>
      <c r="E14" s="111" t="inlineStr">
        <is>
          <t>33.3%</t>
        </is>
      </c>
      <c r="F14" s="111" t="inlineStr">
        <is>
          <t>33.2%</t>
        </is>
      </c>
      <c r="G14" s="111" t="inlineStr">
        <is>
          <t>33.4%</t>
        </is>
      </c>
    </row>
    <row r="15">
      <c r="A15" s="83" t="inlineStr">
        <is>
          <t>Net Profit Margin (هامش صافي الربح)</t>
        </is>
      </c>
      <c r="B15" s="87" t="inlineStr">
        <is>
          <t>&gt; 15%</t>
        </is>
      </c>
      <c r="C15" s="111" t="inlineStr">
        <is>
          <t>11.6%</t>
        </is>
      </c>
      <c r="D15" s="111" t="inlineStr">
        <is>
          <t>11.2%</t>
        </is>
      </c>
      <c r="E15" s="111" t="inlineStr">
        <is>
          <t>11.6%</t>
        </is>
      </c>
      <c r="F15" s="111" t="inlineStr">
        <is>
          <t>19.4%</t>
        </is>
      </c>
      <c r="G15" s="111" t="inlineStr">
        <is>
          <t>29.1%</t>
        </is>
      </c>
    </row>
    <row r="16">
      <c r="A16" s="83" t="inlineStr">
        <is>
          <t>Return on Equity - ROE (العائد على الملكية)</t>
        </is>
      </c>
      <c r="B16" s="87" t="inlineStr">
        <is>
          <t>&gt; 10%</t>
        </is>
      </c>
      <c r="C16" s="111" t="inlineStr">
        <is>
          <t>3.37%</t>
        </is>
      </c>
      <c r="D16" s="111" t="inlineStr">
        <is>
          <t>3.99%</t>
        </is>
      </c>
      <c r="E16" s="111" t="inlineStr">
        <is>
          <t>4.85%</t>
        </is>
      </c>
      <c r="F16" s="111" t="inlineStr">
        <is>
          <t>7.95%</t>
        </is>
      </c>
      <c r="G16" s="111" t="inlineStr">
        <is>
          <t>11.39%</t>
        </is>
      </c>
    </row>
    <row r="17">
      <c r="A17" s="83" t="inlineStr">
        <is>
          <t>Return on Assets - ROA (العائد على الأصول)</t>
        </is>
      </c>
      <c r="B17" s="87" t="inlineStr">
        <is>
          <t>&gt; 3%</t>
        </is>
      </c>
      <c r="C17" s="111" t="inlineStr">
        <is>
          <t>1.59%</t>
        </is>
      </c>
      <c r="D17" s="111" t="inlineStr">
        <is>
          <t>1.71%</t>
        </is>
      </c>
      <c r="E17" s="111" t="inlineStr">
        <is>
          <t>1.85%</t>
        </is>
      </c>
      <c r="F17" s="111" t="inlineStr">
        <is>
          <t>3.27%</t>
        </is>
      </c>
      <c r="G17" s="111" t="inlineStr">
        <is>
          <t>4.89%</t>
        </is>
      </c>
    </row>
  </sheetData>
  <mergeCells count="2">
    <mergeCell ref="A2:G2"/>
    <mergeCell ref="A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2026-10-12T10:51:06Z</dcterms:created>
  <dcterms:modified xmlns:dcterms="http://purl.org/dc/terms/" xmlns:xsi="http://www.w3.org/2001/XMLSchema-instance" xsi:type="dcterms:W3CDTF">2026-10-12T11:55:42Z</dcterms:modified>
</cp:coreProperties>
</file>