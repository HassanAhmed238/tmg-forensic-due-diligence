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SWOT Overview &amp; Scoring" sheetId="2" state="visible" r:id="rId2"/>
    <sheet xmlns:r="http://schemas.openxmlformats.org/officeDocument/2006/relationships" name="Detailed Strengths" sheetId="3" state="visible" r:id="rId3"/>
    <sheet xmlns:r="http://schemas.openxmlformats.org/officeDocument/2006/relationships" name="Detailed Weaknesses" sheetId="4" state="visible" r:id="rId4"/>
    <sheet xmlns:r="http://schemas.openxmlformats.org/officeDocument/2006/relationships" name="Detailed Opportunities" sheetId="5" state="visible" r:id="rId5"/>
    <sheet xmlns:r="http://schemas.openxmlformats.org/officeDocument/2006/relationships" name="Detailed Threats" sheetId="6" state="visible" r:id="rId6"/>
    <sheet xmlns:r="http://schemas.openxmlformats.org/officeDocument/2006/relationships" name="Strategic TOWS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0000FF"/>
      <sz val="11"/>
      <u val="single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385723"/>
        <bgColor rgb="00385723"/>
      </patternFill>
    </fill>
    <fill>
      <patternFill patternType="solid">
        <fgColor rgb="00C65911"/>
        <bgColor rgb="00C65911"/>
      </patternFill>
    </fill>
    <fill>
      <patternFill patternType="solid">
        <fgColor rgb="001F4E78"/>
        <bgColor rgb="001F4E78"/>
      </patternFill>
    </fill>
    <fill>
      <patternFill patternType="solid">
        <fgColor rgb="00833C0C"/>
        <bgColor rgb="00833C0C"/>
      </patternFill>
    </fill>
    <fill>
      <patternFill patternType="solid">
        <fgColor rgb="00D6DCE4"/>
        <bgColor rgb="00D6DCE4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3" fillId="3" borderId="0" pivotButton="0" quotePrefix="0" xfId="0"/>
    <xf numFmtId="0" fontId="4" fillId="6" borderId="2" pivotButton="0" quotePrefix="0" xfId="0"/>
    <xf numFmtId="0" fontId="5" fillId="0" borderId="2" pivotButton="0" quotePrefix="0" xfId="0"/>
    <xf numFmtId="0" fontId="4" fillId="7" borderId="2" pivotButton="0" quotePrefix="0" xfId="0"/>
    <xf numFmtId="0" fontId="4" fillId="8" borderId="2" pivotButton="0" quotePrefix="0" xfId="0"/>
    <xf numFmtId="0" fontId="4" fillId="9" borderId="2" pivotButton="0" quotePrefix="0" xfId="0"/>
    <xf numFmtId="0" fontId="3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5" fillId="6" borderId="2" pivotButton="0" quotePrefix="0" xfId="0"/>
    <xf numFmtId="0" fontId="5" fillId="7" borderId="2" pivotButton="0" quotePrefix="0" xfId="0"/>
    <xf numFmtId="0" fontId="3" fillId="12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8" borderId="2" pivotButton="0" quotePrefix="0" xfId="0"/>
    <xf numFmtId="0" fontId="5" fillId="9" borderId="2" pivotButton="0" quotePrefix="0" xfId="0"/>
    <xf numFmtId="0" fontId="0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164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14" borderId="3" applyAlignment="1" pivotButton="0" quotePrefix="0" xfId="0">
      <alignment horizontal="center" vertical="center" wrapText="1"/>
    </xf>
    <xf numFmtId="0" fontId="4" fillId="14" borderId="3" pivotButton="0" quotePrefix="0" xfId="0"/>
    <xf numFmtId="0" fontId="0" fillId="0" borderId="3" pivotButton="0" quotePrefix="0" xfId="0"/>
    <xf numFmtId="165" fontId="4" fillId="6" borderId="3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0" fillId="6" borderId="2" pivotButton="0" quotePrefix="0" xfId="0"/>
    <xf numFmtId="0" fontId="0" fillId="9" borderId="2" pivotButton="0" quotePrefix="0" xfId="0"/>
    <xf numFmtId="0" fontId="0" fillId="8" borderId="2" pivotButton="0" quotePrefix="0" xfId="0"/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WOT Overview &amp; Scoring'!A1" TargetMode="External" Id="rId1"/><Relationship Type="http://schemas.openxmlformats.org/officeDocument/2006/relationships/hyperlink" Target="#'Detailed Strengths'!A1" TargetMode="External" Id="rId2"/><Relationship Type="http://schemas.openxmlformats.org/officeDocument/2006/relationships/hyperlink" Target="#'Detailed Weaknesses'!A1" TargetMode="External" Id="rId3"/><Relationship Type="http://schemas.openxmlformats.org/officeDocument/2006/relationships/hyperlink" Target="#'Detailed Opportunities'!A1" TargetMode="External" Id="rId4"/><Relationship Type="http://schemas.openxmlformats.org/officeDocument/2006/relationships/hyperlink" Target="#'Detailed Threats'!A1" TargetMode="External" Id="rId5"/><Relationship Type="http://schemas.openxmlformats.org/officeDocument/2006/relationships/hyperlink" Target="#'Strategic TOWS Matrix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50" customWidth="1" min="3" max="3"/>
    <col width="45" customWidth="1" min="4" max="4"/>
    <col width="16" customWidth="1" min="5" max="5"/>
  </cols>
  <sheetData>
    <row r="1">
      <c r="A1" s="1" t="inlineStr">
        <is>
          <t>TALAAT MOUSTAFA GROUP (TMG HOLDING) - DEEP SWOT ANALYSIS</t>
        </is>
      </c>
    </row>
    <row r="2"/>
    <row r="3">
      <c r="A3" s="2" t="inlineStr">
        <is>
          <t>Institutional Forensic &amp; Strategic Risk Assessment | Research Cut-Off: October 2026</t>
        </is>
      </c>
    </row>
    <row r="5">
      <c r="A5" s="3" t="inlineStr">
        <is>
          <t>WORKBOOK NAVIGATION &amp; STRUCTURE</t>
        </is>
      </c>
    </row>
    <row r="6">
      <c r="A6" s="4" t="inlineStr">
        <is>
          <t>Tab Name</t>
        </is>
      </c>
      <c r="B6" s="4" t="inlineStr">
        <is>
          <t>Category / Topic</t>
        </is>
      </c>
      <c r="C6" s="4" t="inlineStr">
        <is>
          <t>Description</t>
        </is>
      </c>
      <c r="D6" s="4" t="inlineStr">
        <is>
          <t>Key Metrics &amp; Focus Areas</t>
        </is>
      </c>
      <c r="E6" s="4" t="inlineStr">
        <is>
          <t>Link</t>
        </is>
      </c>
    </row>
    <row r="7">
      <c r="A7" s="5" t="inlineStr">
        <is>
          <t>SWOT Overview &amp; Scoring</t>
        </is>
      </c>
      <c r="B7" s="6" t="inlineStr">
        <is>
          <t>Executive Matrix</t>
        </is>
      </c>
      <c r="C7" s="6" t="inlineStr">
        <is>
          <t>2x2 Matrix &amp; Weighted Impact/Likelihood Scoring Grid</t>
        </is>
      </c>
      <c r="D7" s="6" t="inlineStr">
        <is>
          <t>Overall Strategic Position &amp; Score</t>
        </is>
      </c>
      <c r="E7" s="7" t="inlineStr">
        <is>
          <t>Go to Sheet →</t>
        </is>
      </c>
    </row>
    <row r="8">
      <c r="A8" s="8" t="inlineStr">
        <is>
          <t>Detailed Strengths</t>
        </is>
      </c>
      <c r="B8" s="9" t="inlineStr">
        <is>
          <t>Internal Positive</t>
        </is>
      </c>
      <c r="C8" s="9" t="inlineStr">
        <is>
          <t>Deep dive into 6 core internal strengths &amp; competitive moats</t>
        </is>
      </c>
      <c r="D8" s="9" t="inlineStr">
        <is>
          <t>EGP 441.2B Backlog, 26k+ Feddans, FX Hotel Cash</t>
        </is>
      </c>
      <c r="E8" s="7" t="inlineStr">
        <is>
          <t>Go to Sheet →</t>
        </is>
      </c>
    </row>
    <row r="9">
      <c r="A9" s="5" t="inlineStr">
        <is>
          <t>Detailed Weaknesses</t>
        </is>
      </c>
      <c r="B9" s="6" t="inlineStr">
        <is>
          <t>Internal Negative</t>
        </is>
      </c>
      <c r="C9" s="6" t="inlineStr">
        <is>
          <t>Deep dive into 6 structural vulnerabilities &amp; cash conversion gaps</t>
        </is>
      </c>
      <c r="D9" s="6" t="inlineStr">
        <is>
          <t>31% OCF/Profit, EGP 44B Lease Debt, Fee Friction</t>
        </is>
      </c>
      <c r="E9" s="7" t="inlineStr">
        <is>
          <t>Go to Sheet →</t>
        </is>
      </c>
    </row>
    <row r="10">
      <c r="A10" s="8" t="inlineStr">
        <is>
          <t>Detailed Opportunities</t>
        </is>
      </c>
      <c r="B10" s="9" t="inlineStr">
        <is>
          <t>External Positive</t>
        </is>
      </c>
      <c r="C10" s="9" t="inlineStr">
        <is>
          <t>Deep dive into 6 growth catalysts &amp; expansion vectors</t>
        </is>
      </c>
      <c r="D10" s="9" t="inlineStr">
        <is>
          <t>SouthMED, Banan KSA, Jood Oman, ADQ Hotels</t>
        </is>
      </c>
      <c r="E10" s="7" t="inlineStr">
        <is>
          <t>Go to Sheet →</t>
        </is>
      </c>
    </row>
    <row r="11">
      <c r="A11" s="5" t="inlineStr">
        <is>
          <t>Detailed Threats</t>
        </is>
      </c>
      <c r="B11" s="6" t="inlineStr">
        <is>
          <t>External Negative</t>
        </is>
      </c>
      <c r="C11" s="6" t="inlineStr">
        <is>
          <t>Deep dive into 6 macroeconomic &amp; regulatory risk vectors</t>
        </is>
      </c>
      <c r="D11" s="6" t="inlineStr">
        <is>
          <t>28.6% Interest Rate, Inflation, Cost Overruns</t>
        </is>
      </c>
      <c r="E11" s="7" t="inlineStr">
        <is>
          <t>Go to Sheet →</t>
        </is>
      </c>
    </row>
    <row r="12">
      <c r="A12" s="8" t="inlineStr">
        <is>
          <t>Strategic TOWS Matrix</t>
        </is>
      </c>
      <c r="B12" s="9" t="inlineStr">
        <is>
          <t>Actionable Strategy</t>
        </is>
      </c>
      <c r="C12" s="9" t="inlineStr">
        <is>
          <t>Cross-matching SWOT drivers into SO, ST, WO, WT strategies</t>
        </is>
      </c>
      <c r="D12" s="9" t="inlineStr">
        <is>
          <t>Capital allocation, hedging &amp; operational playbooks</t>
        </is>
      </c>
      <c r="E12" s="7" t="inlineStr">
        <is>
          <t>Go to Sheet →</t>
        </is>
      </c>
    </row>
    <row r="15">
      <c r="A15" s="10" t="inlineStr">
        <is>
          <t>COLOR CONVENTION &amp; MODEL LEGEND</t>
        </is>
      </c>
    </row>
    <row r="16">
      <c r="A16" s="11" t="inlineStr">
        <is>
          <t>Strengths / Positive Drivers</t>
        </is>
      </c>
      <c r="B16" s="12" t="inlineStr">
        <is>
          <t>Core competitive advantages, asset backing, and cash flow generators</t>
        </is>
      </c>
    </row>
    <row r="17">
      <c r="A17" s="13" t="inlineStr">
        <is>
          <t>Weaknesses / Vulnerabilities</t>
        </is>
      </c>
      <c r="B17" s="12" t="inlineStr">
        <is>
          <t>Internal financial gaps, working capital absorption, and governance risks</t>
        </is>
      </c>
    </row>
    <row r="18">
      <c r="A18" s="14" t="inlineStr">
        <is>
          <t>Opportunities / Catalysts</t>
        </is>
      </c>
      <c r="B18" s="12" t="inlineStr">
        <is>
          <t>External market expansions, asset-light models, and FX revenue growth</t>
        </is>
      </c>
    </row>
    <row r="19">
      <c r="A19" s="15" t="inlineStr">
        <is>
          <t>Threats / Risk Vectors</t>
        </is>
      </c>
      <c r="B19" s="12" t="inlineStr">
        <is>
          <t>Macroeconomic pressures, inflation, interest rates, and regulatory scrutiny</t>
        </is>
      </c>
    </row>
    <row r="20">
      <c r="A20" s="11" t="inlineStr">
        <is>
          <t>Calculated / Output Cells</t>
        </is>
      </c>
      <c r="B20" s="12" t="inlineStr">
        <is>
          <t>Formula-driven metrics, scores, and consolidated totals</t>
        </is>
      </c>
    </row>
  </sheetData>
  <mergeCells count="8">
    <mergeCell ref="B17:E17"/>
    <mergeCell ref="B18:E18"/>
    <mergeCell ref="A15:E15"/>
    <mergeCell ref="B16:E16"/>
    <mergeCell ref="A5:E5"/>
    <mergeCell ref="A1:E2"/>
    <mergeCell ref="B19:E19"/>
    <mergeCell ref="B20:E20"/>
  </mergeCells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22" customWidth="1" min="4" max="4"/>
    <col width="22" customWidth="1" min="5" max="5"/>
    <col width="16" customWidth="1" min="6" max="6"/>
    <col width="18" customWidth="1" min="7" max="7"/>
  </cols>
  <sheetData>
    <row r="1">
      <c r="A1" s="1" t="inlineStr">
        <is>
          <t>TMG HOLDING - EXECUTIVE SWOT MATRIX &amp; WEIGHTED SCORING</t>
        </is>
      </c>
    </row>
    <row r="2"/>
    <row r="4">
      <c r="A4" s="16" t="inlineStr">
        <is>
          <t>STRENGTHS (Internal Moats)</t>
        </is>
      </c>
      <c r="E4" s="17" t="inlineStr">
        <is>
          <t>WEAKNESSES (Internal Vulnerabilities)</t>
        </is>
      </c>
    </row>
    <row r="5">
      <c r="A5" s="18" t="inlineStr">
        <is>
          <t>S1: Dominant Landbank (&gt;26,700 Feddans / 112M+ sqm)</t>
        </is>
      </c>
      <c r="E5" s="19" t="inlineStr">
        <is>
          <t>W1: Cash Conversion Lag (H1 2026 OCF EGP 3.11B vs NP EGP 9.95B)</t>
        </is>
      </c>
    </row>
    <row r="6">
      <c r="A6" s="18" t="inlineStr">
        <is>
          <t>S2: Industry-Leading Sales Backlog (EGP 441.2 Billion)</t>
        </is>
      </c>
      <c r="E6" s="19" t="inlineStr">
        <is>
          <t>W2: Massive Off-Balance Lease Liabilities (EGP 43.99 Billion)</t>
        </is>
      </c>
    </row>
    <row r="7">
      <c r="A7" s="18" t="inlineStr">
        <is>
          <t>S3: Strong Topline &amp; Profit Growth (FY25 Rev EGP 62.5B; NP EGP 18.2B)</t>
        </is>
      </c>
      <c r="E7" s="19" t="inlineStr">
        <is>
          <t>W3: High Cost of Direct Debt (EGP 16.5B at 28.6% Effective Rate)</t>
        </is>
      </c>
    </row>
    <row r="8">
      <c r="A8" s="18" t="inlineStr">
        <is>
          <t>S4: Robust Hospitality FX Cash Flows (ICON / ADQ Venture)</t>
        </is>
      </c>
      <c r="E8" s="19" t="inlineStr">
        <is>
          <t>W4: Resident Friction on Maintenance Surcharges &amp; Resale Fees</t>
        </is>
      </c>
    </row>
    <row r="9">
      <c r="A9" s="18" t="inlineStr">
        <is>
          <t>S5: Asset-Light Master Developer Pivot (SouthMED 8% Fee)</t>
        </is>
      </c>
      <c r="E9" s="19" t="inlineStr">
        <is>
          <t>W5: Captive EPC Reliance &amp; Related-Party Governance Concentration</t>
        </is>
      </c>
    </row>
    <row r="10">
      <c r="A10" s="18" t="inlineStr">
        <is>
          <t>S6: Integrated City Ecosystem &amp; Recurring Utility/Retail Revenue</t>
        </is>
      </c>
      <c r="E10" s="19" t="inlineStr">
        <is>
          <t>W6: Extended 20-Year Project Delivery Horizon (The Spine / SouthMED)</t>
        </is>
      </c>
    </row>
    <row r="12">
      <c r="A12" s="20" t="inlineStr">
        <is>
          <t>OPPORTUNITIES (Growth Catalysts)</t>
        </is>
      </c>
      <c r="E12" s="21" t="inlineStr">
        <is>
          <t>THREATS (Macro &amp; Market Risks)</t>
        </is>
      </c>
    </row>
    <row r="13">
      <c r="A13" s="22" t="inlineStr">
        <is>
          <t>O1: North Coast Year-Round Tourism Expansion (SouthMED $21B)</t>
        </is>
      </c>
      <c r="E13" s="23" t="inlineStr">
        <is>
          <t>T1: Persistent Construction Inflation &amp; FX Devaluation Pressures</t>
        </is>
      </c>
    </row>
    <row r="14">
      <c r="A14" s="22" t="inlineStr">
        <is>
          <t>O2: Cross-Border Expansion into Saudi Arabia (Banan SAR 31.4B)</t>
        </is>
      </c>
      <c r="E14" s="23" t="inlineStr">
        <is>
          <t>T2: High Domestic Borrowing Cost Environment (CBE Policy Rates)</t>
        </is>
      </c>
    </row>
    <row r="15">
      <c r="A15" s="22" t="inlineStr">
        <is>
          <t>O3: Omani Master Development Opportunities (Jood &amp; Yamal)</t>
        </is>
      </c>
      <c r="E15" s="23" t="inlineStr">
        <is>
          <t>T3: Household Affordability Strain in Primary Domestic Market</t>
        </is>
      </c>
    </row>
    <row r="16">
      <c r="A16" s="22" t="inlineStr">
        <is>
          <t>O4: Strategic Sovereign Wealth Alliances (ADQ, ADNEC, NHC)</t>
        </is>
      </c>
      <c r="E16" s="23" t="inlineStr">
        <is>
          <t>T4: Customer Litigation &amp; Consumer Protection Law (Art. 15 Enforcement)</t>
        </is>
      </c>
    </row>
    <row r="17">
      <c r="A17" s="22" t="inlineStr">
        <is>
          <t>O5: Monetization of Commercial Real Estate (Rawasy &amp; Retail Leases)</t>
        </is>
      </c>
      <c r="E17" s="23" t="inlineStr">
        <is>
          <t>T5: Land Allocation Legal Scrutiny &amp; State Procurement Changes</t>
        </is>
      </c>
    </row>
    <row r="18">
      <c r="A18" s="22" t="inlineStr">
        <is>
          <t>O6: High-Margin Smart City Infrastructure Services (5G/Solar Grid)</t>
        </is>
      </c>
      <c r="E18" s="23" t="inlineStr">
        <is>
          <t>T6: Subcontractor Financial Strain &amp; Supply Chain Execution Delays</t>
        </is>
      </c>
    </row>
    <row r="20">
      <c r="A20" s="10" t="inlineStr">
        <is>
          <t>WEIGHTED QUANTITATIVE RISK &amp; IMPACT EVALUATION GRID</t>
        </is>
      </c>
    </row>
    <row r="21">
      <c r="A21" s="4" t="inlineStr">
        <is>
          <t>ID</t>
        </is>
      </c>
      <c r="B21" s="4" t="inlineStr">
        <is>
          <t>Factor Description</t>
        </is>
      </c>
      <c r="C21" s="4" t="inlineStr">
        <is>
          <t>Category</t>
        </is>
      </c>
      <c r="D21" s="4" t="inlineStr">
        <is>
          <t>Importance Weight (1-5)</t>
        </is>
      </c>
      <c r="E21" s="4" t="inlineStr">
        <is>
          <t>Strategic Rating (1-5)</t>
        </is>
      </c>
      <c r="F21" s="4" t="inlineStr">
        <is>
          <t>Weighted Score</t>
        </is>
      </c>
      <c r="G21" s="4" t="inlineStr">
        <is>
          <t>Strategic Priority</t>
        </is>
      </c>
    </row>
    <row r="22">
      <c r="A22" s="24" t="inlineStr">
        <is>
          <t>S1</t>
        </is>
      </c>
      <c r="B22" s="25" t="inlineStr">
        <is>
          <t>Dominant Landbank (&gt;26.7k Feddans)</t>
        </is>
      </c>
      <c r="C22" s="24" t="inlineStr">
        <is>
          <t>Strength</t>
        </is>
      </c>
      <c r="D22" s="24" t="n">
        <v>5</v>
      </c>
      <c r="E22" s="24" t="n">
        <v>5</v>
      </c>
      <c r="F22" s="26">
        <f>D22*E22</f>
        <v/>
      </c>
      <c r="G22" s="27">
        <f>IF(F22&gt;=20, "CRITICAL", IF(F22&gt;=12, "HIGH", "MEDIUM"))</f>
        <v/>
      </c>
    </row>
    <row r="23">
      <c r="A23" s="24" t="inlineStr">
        <is>
          <t>S2</t>
        </is>
      </c>
      <c r="B23" s="25" t="inlineStr">
        <is>
          <t>Real Estate Sales Backlog (EGP 441.2B)</t>
        </is>
      </c>
      <c r="C23" s="24" t="inlineStr">
        <is>
          <t>Strength</t>
        </is>
      </c>
      <c r="D23" s="24" t="n">
        <v>5</v>
      </c>
      <c r="E23" s="24" t="n">
        <v>5</v>
      </c>
      <c r="F23" s="26">
        <f>D23*E23</f>
        <v/>
      </c>
      <c r="G23" s="27">
        <f>IF(F23&gt;=20, "CRITICAL", IF(F23&gt;=12, "HIGH", "MEDIUM"))</f>
        <v/>
      </c>
    </row>
    <row r="24">
      <c r="A24" s="24" t="inlineStr">
        <is>
          <t>S3</t>
        </is>
      </c>
      <c r="B24" s="25" t="inlineStr">
        <is>
          <t>Strong Revenue Growth (+46% FY25)</t>
        </is>
      </c>
      <c r="C24" s="24" t="inlineStr">
        <is>
          <t>Strength</t>
        </is>
      </c>
      <c r="D24" s="24" t="n">
        <v>4</v>
      </c>
      <c r="E24" s="24" t="n">
        <v>4</v>
      </c>
      <c r="F24" s="26">
        <f>D24*E24</f>
        <v/>
      </c>
      <c r="G24" s="27">
        <f>IF(F24&gt;=20, "CRITICAL", IF(F24&gt;=12, "HIGH", "MEDIUM"))</f>
        <v/>
      </c>
    </row>
    <row r="25">
      <c r="A25" s="24" t="inlineStr">
        <is>
          <t>S4</t>
        </is>
      </c>
      <c r="B25" s="25" t="inlineStr">
        <is>
          <t>Hospitality Foreign Currency Inflows</t>
        </is>
      </c>
      <c r="C25" s="24" t="inlineStr">
        <is>
          <t>Strength</t>
        </is>
      </c>
      <c r="D25" s="24" t="n">
        <v>4</v>
      </c>
      <c r="E25" s="24" t="n">
        <v>4</v>
      </c>
      <c r="F25" s="26">
        <f>D25*E25</f>
        <v/>
      </c>
      <c r="G25" s="27">
        <f>IF(F25&gt;=20, "CRITICAL", IF(F25&gt;=12, "HIGH", "MEDIUM"))</f>
        <v/>
      </c>
    </row>
    <row r="26">
      <c r="A26" s="24" t="inlineStr">
        <is>
          <t>S5</t>
        </is>
      </c>
      <c r="B26" s="25" t="inlineStr">
        <is>
          <t>Asset-Light Model Pivot (~8% Fee)</t>
        </is>
      </c>
      <c r="C26" s="24" t="inlineStr">
        <is>
          <t>Strength</t>
        </is>
      </c>
      <c r="D26" s="24" t="n">
        <v>4</v>
      </c>
      <c r="E26" s="24" t="n">
        <v>4</v>
      </c>
      <c r="F26" s="26">
        <f>D26*E26</f>
        <v/>
      </c>
      <c r="G26" s="27">
        <f>IF(F26&gt;=20, "CRITICAL", IF(F26&gt;=12, "HIGH", "MEDIUM"))</f>
        <v/>
      </c>
    </row>
    <row r="27">
      <c r="A27" s="28" t="inlineStr">
        <is>
          <t>W1</t>
        </is>
      </c>
      <c r="B27" s="29" t="inlineStr">
        <is>
          <t>Cash Conversion Lag (~31% H1 26)</t>
        </is>
      </c>
      <c r="C27" s="28" t="inlineStr">
        <is>
          <t>Weakness</t>
        </is>
      </c>
      <c r="D27" s="28" t="n">
        <v>5</v>
      </c>
      <c r="E27" s="28" t="n">
        <v>4</v>
      </c>
      <c r="F27" s="26">
        <f>D27*E27</f>
        <v/>
      </c>
      <c r="G27" s="30">
        <f>IF(F27&gt;=20, "CRITICAL", IF(F27&gt;=12, "HIGH", "MEDIUM"))</f>
        <v/>
      </c>
    </row>
    <row r="28">
      <c r="A28" s="28" t="inlineStr">
        <is>
          <t>W2</t>
        </is>
      </c>
      <c r="B28" s="29" t="inlineStr">
        <is>
          <t>Off-Balance Lease Debt (EGP 44.0B)</t>
        </is>
      </c>
      <c r="C28" s="28" t="inlineStr">
        <is>
          <t>Weakness</t>
        </is>
      </c>
      <c r="D28" s="28" t="n">
        <v>5</v>
      </c>
      <c r="E28" s="28" t="n">
        <v>4</v>
      </c>
      <c r="F28" s="26">
        <f>D28*E28</f>
        <v/>
      </c>
      <c r="G28" s="30">
        <f>IF(F28&gt;=20, "CRITICAL", IF(F28&gt;=12, "HIGH", "MEDIUM"))</f>
        <v/>
      </c>
    </row>
    <row r="29">
      <c r="A29" s="28" t="inlineStr">
        <is>
          <t>W3</t>
        </is>
      </c>
      <c r="B29" s="29" t="inlineStr">
        <is>
          <t>High EGP Borrowing Rate (28.6%)</t>
        </is>
      </c>
      <c r="C29" s="28" t="inlineStr">
        <is>
          <t>Weakness</t>
        </is>
      </c>
      <c r="D29" s="28" t="n">
        <v>4</v>
      </c>
      <c r="E29" s="28" t="n">
        <v>4</v>
      </c>
      <c r="F29" s="26">
        <f>D29*E29</f>
        <v/>
      </c>
      <c r="G29" s="30">
        <f>IF(F29&gt;=20, "CRITICAL", IF(F29&gt;=12, "HIGH", "MEDIUM"))</f>
        <v/>
      </c>
    </row>
    <row r="30">
      <c r="A30" s="28" t="inlineStr">
        <is>
          <t>W4</t>
        </is>
      </c>
      <c r="B30" s="29" t="inlineStr">
        <is>
          <t>Resident Service &amp; Resale Fee Disputes</t>
        </is>
      </c>
      <c r="C30" s="28" t="inlineStr">
        <is>
          <t>Weakness</t>
        </is>
      </c>
      <c r="D30" s="28" t="n">
        <v>3</v>
      </c>
      <c r="E30" s="28" t="n">
        <v>3</v>
      </c>
      <c r="F30" s="26">
        <f>D30*E30</f>
        <v/>
      </c>
      <c r="G30" s="30">
        <f>IF(F30&gt;=20, "CRITICAL", IF(F30&gt;=12, "HIGH", "MEDIUM"))</f>
        <v/>
      </c>
    </row>
    <row r="31">
      <c r="A31" s="28" t="inlineStr">
        <is>
          <t>W5</t>
        </is>
      </c>
      <c r="B31" s="29" t="inlineStr">
        <is>
          <t>Captive EPC &amp; Governance Concentration</t>
        </is>
      </c>
      <c r="C31" s="28" t="inlineStr">
        <is>
          <t>Weakness</t>
        </is>
      </c>
      <c r="D31" s="28" t="n">
        <v>3</v>
      </c>
      <c r="E31" s="28" t="n">
        <v>3</v>
      </c>
      <c r="F31" s="26">
        <f>D31*E31</f>
        <v/>
      </c>
      <c r="G31" s="30">
        <f>IF(F31&gt;=20, "CRITICAL", IF(F31&gt;=12, "HIGH", "MEDIUM"))</f>
        <v/>
      </c>
    </row>
    <row r="32">
      <c r="A32" s="31" t="inlineStr">
        <is>
          <t>O1</t>
        </is>
      </c>
      <c r="B32" s="32" t="inlineStr">
        <is>
          <t>SouthMED North Coast Mega Project</t>
        </is>
      </c>
      <c r="C32" s="31" t="inlineStr">
        <is>
          <t>Opportunity</t>
        </is>
      </c>
      <c r="D32" s="31" t="n">
        <v>5</v>
      </c>
      <c r="E32" s="31" t="n">
        <v>4</v>
      </c>
      <c r="F32" s="26">
        <f>D32*E32</f>
        <v/>
      </c>
      <c r="G32" s="33">
        <f>IF(F32&gt;=20, "CRITICAL", IF(F32&gt;=12, "HIGH", "MEDIUM"))</f>
        <v/>
      </c>
    </row>
    <row r="33">
      <c r="A33" s="31" t="inlineStr">
        <is>
          <t>O2</t>
        </is>
      </c>
      <c r="B33" s="32" t="inlineStr">
        <is>
          <t>Saudi Arabia Banan Smart City Expansion</t>
        </is>
      </c>
      <c r="C33" s="31" t="inlineStr">
        <is>
          <t>Opportunity</t>
        </is>
      </c>
      <c r="D33" s="31" t="n">
        <v>4</v>
      </c>
      <c r="E33" s="31" t="n">
        <v>4</v>
      </c>
      <c r="F33" s="26">
        <f>D33*E33</f>
        <v/>
      </c>
      <c r="G33" s="33">
        <f>IF(F33&gt;=20, "CRITICAL", IF(F33&gt;=12, "HIGH", "MEDIUM"))</f>
        <v/>
      </c>
    </row>
    <row r="34">
      <c r="A34" s="31" t="inlineStr">
        <is>
          <t>O3</t>
        </is>
      </c>
      <c r="B34" s="32" t="inlineStr">
        <is>
          <t>Sovereign Co-Investments (ADQ/ADNEC)</t>
        </is>
      </c>
      <c r="C34" s="31" t="inlineStr">
        <is>
          <t>Opportunity</t>
        </is>
      </c>
      <c r="D34" s="31" t="n">
        <v>4</v>
      </c>
      <c r="E34" s="31" t="n">
        <v>4</v>
      </c>
      <c r="F34" s="26">
        <f>D34*E34</f>
        <v/>
      </c>
      <c r="G34" s="33">
        <f>IF(F34&gt;=20, "CRITICAL", IF(F34&gt;=12, "HIGH", "MEDIUM"))</f>
        <v/>
      </c>
    </row>
    <row r="35">
      <c r="A35" s="31" t="inlineStr">
        <is>
          <t>O4</t>
        </is>
      </c>
      <c r="B35" s="32" t="inlineStr">
        <is>
          <t>Oman &amp; Regional Cross-Border Pipeline</t>
        </is>
      </c>
      <c r="C35" s="31" t="inlineStr">
        <is>
          <t>Opportunity</t>
        </is>
      </c>
      <c r="D35" s="31" t="n">
        <v>3</v>
      </c>
      <c r="E35" s="31" t="n">
        <v>3</v>
      </c>
      <c r="F35" s="26">
        <f>D35*E35</f>
        <v/>
      </c>
      <c r="G35" s="33">
        <f>IF(F35&gt;=20, "CRITICAL", IF(F35&gt;=12, "HIGH", "MEDIUM"))</f>
        <v/>
      </c>
    </row>
    <row r="36">
      <c r="A36" s="34" t="inlineStr">
        <is>
          <t>T1</t>
        </is>
      </c>
      <c r="B36" s="35" t="inlineStr">
        <is>
          <t>Construction Inflation &amp; FX Volatility</t>
        </is>
      </c>
      <c r="C36" s="34" t="inlineStr">
        <is>
          <t>Threat</t>
        </is>
      </c>
      <c r="D36" s="34" t="n">
        <v>5</v>
      </c>
      <c r="E36" s="34" t="n">
        <v>4</v>
      </c>
      <c r="F36" s="26">
        <f>D36*E36</f>
        <v/>
      </c>
      <c r="G36" s="36">
        <f>IF(F36&gt;=20, "CRITICAL", IF(F36&gt;=12, "HIGH", "MEDIUM"))</f>
        <v/>
      </c>
    </row>
    <row r="37">
      <c r="A37" s="34" t="inlineStr">
        <is>
          <t>T2</t>
        </is>
      </c>
      <c r="B37" s="35" t="inlineStr">
        <is>
          <t>High Domestic Interest Rates</t>
        </is>
      </c>
      <c r="C37" s="34" t="inlineStr">
        <is>
          <t>Threat</t>
        </is>
      </c>
      <c r="D37" s="34" t="n">
        <v>4</v>
      </c>
      <c r="E37" s="34" t="n">
        <v>4</v>
      </c>
      <c r="F37" s="26">
        <f>D37*E37</f>
        <v/>
      </c>
      <c r="G37" s="36">
        <f>IF(F37&gt;=20, "CRITICAL", IF(F37&gt;=12, "HIGH", "MEDIUM"))</f>
        <v/>
      </c>
    </row>
    <row r="38">
      <c r="A38" s="34" t="inlineStr">
        <is>
          <t>T3</t>
        </is>
      </c>
      <c r="B38" s="35" t="inlineStr">
        <is>
          <t>Household Purchasing Power Erosion</t>
        </is>
      </c>
      <c r="C38" s="34" t="inlineStr">
        <is>
          <t>Threat</t>
        </is>
      </c>
      <c r="D38" s="34" t="n">
        <v>4</v>
      </c>
      <c r="E38" s="34" t="n">
        <v>3</v>
      </c>
      <c r="F38" s="26">
        <f>D38*E38</f>
        <v/>
      </c>
      <c r="G38" s="36">
        <f>IF(F38&gt;=20, "CRITICAL", IF(F38&gt;=12, "HIGH", "MEDIUM"))</f>
        <v/>
      </c>
    </row>
    <row r="39">
      <c r="A39" s="34" t="inlineStr">
        <is>
          <t>T4</t>
        </is>
      </c>
      <c r="B39" s="35" t="inlineStr">
        <is>
          <t>Subcontractor Insolvency &amp; Project Slippage</t>
        </is>
      </c>
      <c r="C39" s="34" t="inlineStr">
        <is>
          <t>Threat</t>
        </is>
      </c>
      <c r="D39" s="34" t="n">
        <v>4</v>
      </c>
      <c r="E39" s="34" t="n">
        <v>3</v>
      </c>
      <c r="F39" s="26">
        <f>D39*E39</f>
        <v/>
      </c>
      <c r="G39" s="36">
        <f>IF(F39&gt;=20, "CRITICAL", IF(F39&gt;=12, "HIGH", "MEDIUM"))</f>
        <v/>
      </c>
    </row>
    <row r="40">
      <c r="A40" s="37" t="inlineStr">
        <is>
          <t>TOTAL</t>
        </is>
      </c>
      <c r="B40" s="38" t="inlineStr">
        <is>
          <t>Aggregated Weighted SWOT Performance Score</t>
        </is>
      </c>
      <c r="C40" s="39" t="n"/>
      <c r="D40" s="39" t="n"/>
      <c r="E40" s="39" t="n"/>
      <c r="F40" s="40">
        <f>SUM(F22:F39)</f>
        <v/>
      </c>
      <c r="G40" s="37" t="inlineStr">
        <is>
          <t>COMPOSITE</t>
        </is>
      </c>
    </row>
  </sheetData>
  <mergeCells count="31">
    <mergeCell ref="E10:G10"/>
    <mergeCell ref="B40:E40"/>
    <mergeCell ref="E13:G13"/>
    <mergeCell ref="A1:G2"/>
    <mergeCell ref="A18:C18"/>
    <mergeCell ref="A20:G20"/>
    <mergeCell ref="E9:G9"/>
    <mergeCell ref="A12:C12"/>
    <mergeCell ref="E15:G15"/>
    <mergeCell ref="E6:G6"/>
    <mergeCell ref="A5:C5"/>
    <mergeCell ref="A8:C8"/>
    <mergeCell ref="A14:C14"/>
    <mergeCell ref="A17:C17"/>
    <mergeCell ref="A4:C4"/>
    <mergeCell ref="E7:G7"/>
    <mergeCell ref="E16:G16"/>
    <mergeCell ref="A10:C10"/>
    <mergeCell ref="A13:C13"/>
    <mergeCell ref="A9:C9"/>
    <mergeCell ref="E12:G12"/>
    <mergeCell ref="E18:G18"/>
    <mergeCell ref="A15:C15"/>
    <mergeCell ref="E14:G14"/>
    <mergeCell ref="E5:G5"/>
    <mergeCell ref="A6:C6"/>
    <mergeCell ref="E8:G8"/>
    <mergeCell ref="E17:G17"/>
    <mergeCell ref="E4:G4"/>
    <mergeCell ref="A7:C7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42" customWidth="1" min="4" max="4"/>
    <col width="19" customWidth="1" min="5" max="5"/>
    <col width="25" customWidth="1" min="6" max="6"/>
    <col width="42" customWidth="1" min="7" max="7"/>
  </cols>
  <sheetData>
    <row r="1">
      <c r="A1" s="1" t="inlineStr">
        <is>
          <t>TMG HOLDING - DETAILED ANALYSIS: STRENGTHS &amp; COMPETITIVE MOATS</t>
        </is>
      </c>
    </row>
    <row r="2"/>
    <row r="3"/>
    <row r="4">
      <c r="A4" s="41" t="inlineStr">
        <is>
          <t>ID</t>
        </is>
      </c>
      <c r="B4" s="41" t="inlineStr">
        <is>
          <t>Factor Name</t>
        </is>
      </c>
      <c r="C4" s="41" t="inlineStr">
        <is>
          <t>Forensic Details &amp; Key Evidence</t>
        </is>
      </c>
      <c r="D4" s="41" t="inlineStr">
        <is>
          <t>Supporting Quantified Data</t>
        </is>
      </c>
      <c r="E4" s="41" t="inlineStr">
        <is>
          <t>Strategic Impact</t>
        </is>
      </c>
      <c r="F4" s="41" t="inlineStr">
        <is>
          <t>Source Attribution</t>
        </is>
      </c>
      <c r="G4" s="41" t="inlineStr">
        <is>
          <t>Action Item</t>
        </is>
      </c>
    </row>
    <row r="5">
      <c r="A5" s="42" t="inlineStr">
        <is>
          <t>S1</t>
        </is>
      </c>
      <c r="B5" s="5" t="inlineStr">
        <is>
          <t>Dominant Landbank</t>
        </is>
      </c>
      <c r="C5" s="43" t="inlineStr">
        <is>
          <t>Holds Egypt's largest private urban landbank across East Cairo, North Coast, Red Sea, and Gulf region.</t>
        </is>
      </c>
      <c r="D5" s="43" t="inlineStr">
        <is>
          <t>26,722+ Feddans (&gt;112mn sqm BUA); Madinaty (8,000 feddans), Noor (5,000 feddans), SouthMED (5,500 feddans)</t>
        </is>
      </c>
      <c r="E5" s="44" t="inlineStr">
        <is>
          <t>High Moat</t>
        </is>
      </c>
      <c r="F5" s="43" t="inlineStr">
        <is>
          <t>TMG Investor Relations / Audit FY25</t>
        </is>
      </c>
      <c r="G5" s="43" t="inlineStr">
        <is>
          <t>Monetize infrastructure via master development fees</t>
        </is>
      </c>
    </row>
    <row r="6">
      <c r="A6" s="45" t="inlineStr">
        <is>
          <t>S2</t>
        </is>
      </c>
      <c r="B6" s="8" t="inlineStr">
        <is>
          <t>Massive Sales Backlog</t>
        </is>
      </c>
      <c r="C6" s="46" t="inlineStr">
        <is>
          <t>Unprecedented revenue visibility provided by contracted off-plan sales awaiting construction delivery.</t>
        </is>
      </c>
      <c r="D6" s="46" t="inlineStr">
        <is>
          <t>EGP 441.2 Billion backlog (as of Dec 2025); excludes SouthMED gross sales</t>
        </is>
      </c>
      <c r="E6" s="47" t="inlineStr">
        <is>
          <t>High Visibility</t>
        </is>
      </c>
      <c r="F6" s="46" t="inlineStr">
        <is>
          <t>FY2025 Earnings Release</t>
        </is>
      </c>
      <c r="G6" s="46" t="inlineStr">
        <is>
          <t>Maintain delivery pace to convert backlog into recognized revenue</t>
        </is>
      </c>
    </row>
    <row r="7">
      <c r="A7" s="42" t="inlineStr">
        <is>
          <t>S3</t>
        </is>
      </c>
      <c r="B7" s="5" t="inlineStr">
        <is>
          <t>Strong Headline Financials</t>
        </is>
      </c>
      <c r="C7" s="43" t="inlineStr">
        <is>
          <t>Record-setting revenue and net earnings growth driven by unit deliveries and hospitality consolidation.</t>
        </is>
      </c>
      <c r="D7" s="43" t="inlineStr">
        <is>
          <t>FY25 Revenue EGP 62.5B (+46%), Net Profit EGP 18.2B (+43%); H1 26 Rev EGP 30.19B</t>
        </is>
      </c>
      <c r="E7" s="44" t="inlineStr">
        <is>
          <t>High Growth</t>
        </is>
      </c>
      <c r="F7" s="43" t="inlineStr">
        <is>
          <t>Audited Financials FY2025 &amp; H1 2026</t>
        </is>
      </c>
      <c r="G7" s="43" t="inlineStr">
        <is>
          <t>Optimize gross margin against rising material costs</t>
        </is>
      </c>
    </row>
    <row r="8">
      <c r="A8" s="45" t="inlineStr">
        <is>
          <t>S4</t>
        </is>
      </c>
      <c r="B8" s="8" t="inlineStr">
        <is>
          <t>Hospitality Foreign Currency</t>
        </is>
      </c>
      <c r="C8" s="46" t="inlineStr">
        <is>
          <t>Icon hotel portfolio generates strong USD/EUR cash flows, offering a natural hedge against EGP devaluation.</t>
        </is>
      </c>
      <c r="D8" s="46" t="inlineStr">
        <is>
          <t>Hospitality Revenue EGP 14.9B in FY25 (+30%); 51% acquisition of Legacy Hotels (7 historic state hotels)</t>
        </is>
      </c>
      <c r="E8" s="47" t="inlineStr">
        <is>
          <t>FX Hedge Moat</t>
        </is>
      </c>
      <c r="F8" s="46" t="inlineStr">
        <is>
          <t>Icon ADQ/ADNEC Filing &amp; FS Notes</t>
        </is>
      </c>
      <c r="G8" s="46" t="inlineStr">
        <is>
          <t>Reinvest FX yield into high-specification hotel developments</t>
        </is>
      </c>
    </row>
    <row r="9">
      <c r="A9" s="42" t="inlineStr">
        <is>
          <t>S5</t>
        </is>
      </c>
      <c r="B9" s="5" t="inlineStr">
        <is>
          <t>Asset-Light Model Pivot</t>
        </is>
      </c>
      <c r="C9" s="43" t="inlineStr">
        <is>
          <t>Shift toward master development partnership agreements that capture development fees without land balance-sheet liabilities.</t>
        </is>
      </c>
      <c r="D9" s="43" t="inlineStr">
        <is>
          <t>SouthMED (~8% master development fee model) &amp; The Spine (24.5% NBE JV plot sale EGP 67.12B)</t>
        </is>
      </c>
      <c r="E9" s="44" t="inlineStr">
        <is>
          <t>Capital Light</t>
        </is>
      </c>
      <c r="F9" s="43" t="inlineStr">
        <is>
          <t>TMG Market Updates &amp; Cabinet Decrees</t>
        </is>
      </c>
      <c r="G9" s="43" t="inlineStr">
        <is>
          <t>Replicate asset-light structure for future mega-land allocations</t>
        </is>
      </c>
    </row>
    <row r="10">
      <c r="A10" s="45" t="inlineStr">
        <is>
          <t>S6</t>
        </is>
      </c>
      <c r="B10" s="8" t="inlineStr">
        <is>
          <t>Integrated City Model</t>
        </is>
      </c>
      <c r="C10" s="46" t="inlineStr">
        <is>
          <t>Combines residential units with recurring commercial retail leasing, sports clubs, utilities, and transportation.</t>
        </is>
      </c>
      <c r="D10" s="46" t="inlineStr">
        <is>
          <t>Other Recurring Revenue EGP 10.9B (+64% YoY in FY25); Open Air Mall (260k sqm GLA)</t>
        </is>
      </c>
      <c r="E10" s="47" t="inlineStr">
        <is>
          <t>Resilient Cash</t>
        </is>
      </c>
      <c r="F10" s="46" t="inlineStr">
        <is>
          <t>TMG Operating Segment Reports</t>
        </is>
      </c>
      <c r="G10" s="46" t="inlineStr">
        <is>
          <t>Expand commercial leasing space across East Hub and Noor City</t>
        </is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42" customWidth="1" min="4" max="4"/>
    <col width="20" customWidth="1" min="5" max="5"/>
    <col width="25" customWidth="1" min="6" max="6"/>
    <col width="42" customWidth="1" min="7" max="7"/>
  </cols>
  <sheetData>
    <row r="1">
      <c r="A1" s="1" t="inlineStr">
        <is>
          <t>TMG HOLDING - DETAILED ANALYSIS: WEAKNESSES &amp; INTERNAL VULNERABILITIES</t>
        </is>
      </c>
    </row>
    <row r="2"/>
    <row r="3"/>
    <row r="4">
      <c r="A4" s="48" t="inlineStr">
        <is>
          <t>ID</t>
        </is>
      </c>
      <c r="B4" s="48" t="inlineStr">
        <is>
          <t>Factor Name</t>
        </is>
      </c>
      <c r="C4" s="48" t="inlineStr">
        <is>
          <t>Forensic Details &amp; Key Evidence</t>
        </is>
      </c>
      <c r="D4" s="48" t="inlineStr">
        <is>
          <t>Supporting Quantified Data</t>
        </is>
      </c>
      <c r="E4" s="48" t="inlineStr">
        <is>
          <t>Strategic Impact</t>
        </is>
      </c>
      <c r="F4" s="48" t="inlineStr">
        <is>
          <t>Source Attribution</t>
        </is>
      </c>
      <c r="G4" s="48" t="inlineStr">
        <is>
          <t>Action Item</t>
        </is>
      </c>
    </row>
    <row r="5">
      <c r="A5" s="42" t="inlineStr">
        <is>
          <t>W1</t>
        </is>
      </c>
      <c r="B5" s="5" t="inlineStr">
        <is>
          <t>Cash Conversion Lag</t>
        </is>
      </c>
      <c r="C5" s="43" t="inlineStr">
        <is>
          <t>Operating cash flow trails accounting profit due to heavy cash absorption into properties under development.</t>
        </is>
      </c>
      <c r="D5" s="43" t="inlineStr">
        <is>
          <t>H1 2026 OCF EGP 3.11B vs Consolidated Profit EGP 9.95B (~31% conversion); EGP 18.26B WIP burn</t>
        </is>
      </c>
      <c r="E5" s="44" t="inlineStr">
        <is>
          <t>Liquidity Risk</t>
        </is>
      </c>
      <c r="F5" s="43" t="inlineStr">
        <is>
          <t>H1 2026 Cash Flow Statement</t>
        </is>
      </c>
      <c r="G5" s="43" t="inlineStr">
        <is>
          <t>Tighten working capital and accelerate customer collection velocity</t>
        </is>
      </c>
    </row>
    <row r="6">
      <c r="A6" s="45" t="inlineStr">
        <is>
          <t>W2</t>
        </is>
      </c>
      <c r="B6" s="8" t="inlineStr">
        <is>
          <t>Off-Balance Sheet Lease Debt</t>
        </is>
      </c>
      <c r="C6" s="46" t="inlineStr">
        <is>
          <t>Extensive use of sale-and-leaseback transactions creates fixed contractual debt-service obligations.</t>
        </is>
      </c>
      <c r="D6" s="46" t="inlineStr">
        <is>
          <t>EGP 43.99 Billion in Financial Lease Notes Payable (June 2026), up from EGP 34.4B in Dec 2025</t>
        </is>
      </c>
      <c r="E6" s="47" t="inlineStr">
        <is>
          <t>High Leverage</t>
        </is>
      </c>
      <c r="F6" s="46" t="inlineStr">
        <is>
          <t>Consolidated Balance Sheet Note 18</t>
        </is>
      </c>
      <c r="G6" s="46" t="inlineStr">
        <is>
          <t>Cap additional sale-and-leaseback monetization to preserve DSCR</t>
        </is>
      </c>
    </row>
    <row r="7">
      <c r="A7" s="42" t="inlineStr">
        <is>
          <t>W3</t>
        </is>
      </c>
      <c r="B7" s="5" t="inlineStr">
        <is>
          <t>High Interest Cost Environment</t>
        </is>
      </c>
      <c r="C7" s="43" t="inlineStr">
        <is>
          <t>Elevated effective borrowing rates on local debt create substantial annual interest expense.</t>
        </is>
      </c>
      <c r="D7" s="43" t="inlineStr">
        <is>
          <t>Direct Bank Loans EGP 16.5B at 28.6% average effective rate on EGP credit facilities</t>
        </is>
      </c>
      <c r="E7" s="44" t="inlineStr">
        <is>
          <t>Cost Drag</t>
        </is>
      </c>
      <c r="F7" s="43" t="inlineStr">
        <is>
          <t>Financial Statement Notes H1 2026</t>
        </is>
      </c>
      <c r="G7" s="43" t="inlineStr">
        <is>
          <t>Refinance high-cost EGP debt using lower-cost regional FX facilities</t>
        </is>
      </c>
    </row>
    <row r="8">
      <c r="A8" s="45" t="inlineStr">
        <is>
          <t>W4</t>
        </is>
      </c>
      <c r="B8" s="8" t="inlineStr">
        <is>
          <t>Resident &amp; Customer Friction</t>
        </is>
      </c>
      <c r="C8" s="46" t="inlineStr">
        <is>
          <t>Unilateral annual maintenance deficit surcharges and statutory resale transfer fee enforcement cause disputes.</t>
        </is>
      </c>
      <c r="D8" s="46" t="inlineStr">
        <is>
          <t>Annual maintenance difference demands EGP 15k–45k/unit; CPA Art. 15 resale fee challenges</t>
        </is>
      </c>
      <c r="E8" s="47" t="inlineStr">
        <is>
          <t>Reputational Risk</t>
        </is>
      </c>
      <c r="F8" s="46" t="inlineStr">
        <is>
          <t>CPA Registries &amp; New Cairo Court Logs</t>
        </is>
      </c>
      <c r="G8" s="46" t="inlineStr">
        <is>
          <t>Provide transparent audited accounting logs for maintenance trust funds</t>
        </is>
      </c>
    </row>
    <row r="9">
      <c r="A9" s="42" t="inlineStr">
        <is>
          <t>W5</t>
        </is>
      </c>
      <c r="B9" s="5" t="inlineStr">
        <is>
          <t>Captive EPC &amp; Governance</t>
        </is>
      </c>
      <c r="C9" s="43" t="inlineStr">
        <is>
          <t>Heavy reliance on related-party contractor Alexandria Construction Co. (ACC) and Atrium Quality Contractors.</t>
        </is>
      </c>
      <c r="D9" s="43" t="inlineStr">
        <is>
          <t>ACC holds 8.05% TMGH stake; EGP 1.90B due from related parties in June 2026</t>
        </is>
      </c>
      <c r="E9" s="44" t="inlineStr">
        <is>
          <t>Governance Risk</t>
        </is>
      </c>
      <c r="F9" s="43" t="inlineStr">
        <is>
          <t>TMG Corporate Governance Report FY25</t>
        </is>
      </c>
      <c r="G9" s="43" t="inlineStr">
        <is>
          <t>Introduce competitive Tier-1 bidding for major infrastructure packages</t>
        </is>
      </c>
    </row>
    <row r="10">
      <c r="A10" s="45" t="inlineStr">
        <is>
          <t>W6</t>
        </is>
      </c>
      <c r="B10" s="8" t="inlineStr">
        <is>
          <t>Long Delivery Horizons</t>
        </is>
      </c>
      <c r="C10" s="46" t="inlineStr">
        <is>
          <t>Mega-projects require 15- to 20-year execution cycles, exposing developer to long-term macro volatility.</t>
        </is>
      </c>
      <c r="D10" s="46" t="inlineStr">
        <is>
          <t>The Spine (2030 first delivery), SouthMED (2029 first delivery), Banan KSA (2029 first delivery)</t>
        </is>
      </c>
      <c r="E10" s="47" t="inlineStr">
        <is>
          <t>Execution Risk</t>
        </is>
      </c>
      <c r="F10" s="46" t="inlineStr">
        <is>
          <t>IR Masterplan Timelines 2026</t>
        </is>
      </c>
      <c r="G10" s="46" t="inlineStr">
        <is>
          <t>Implement phased sub-block completions to mitigate cost inflation</t>
        </is>
      </c>
    </row>
  </sheetData>
  <mergeCells count="1"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42" customWidth="1" min="4" max="4"/>
    <col width="25" customWidth="1" min="5" max="5"/>
    <col width="25" customWidth="1" min="6" max="6"/>
    <col width="42" customWidth="1" min="7" max="7"/>
  </cols>
  <sheetData>
    <row r="1">
      <c r="A1" s="1" t="inlineStr">
        <is>
          <t>TMG HOLDING - DETAILED ANALYSIS: OPPORTUNITIES &amp; GROWTH CATALYSTS</t>
        </is>
      </c>
    </row>
    <row r="2"/>
    <row r="3"/>
    <row r="4">
      <c r="A4" s="49" t="inlineStr">
        <is>
          <t>ID</t>
        </is>
      </c>
      <c r="B4" s="49" t="inlineStr">
        <is>
          <t>Factor Name</t>
        </is>
      </c>
      <c r="C4" s="49" t="inlineStr">
        <is>
          <t>Forensic Details &amp; Key Evidence</t>
        </is>
      </c>
      <c r="D4" s="49" t="inlineStr">
        <is>
          <t>Supporting Quantified Data</t>
        </is>
      </c>
      <c r="E4" s="49" t="inlineStr">
        <is>
          <t>Strategic Impact</t>
        </is>
      </c>
      <c r="F4" s="49" t="inlineStr">
        <is>
          <t>Source Attribution</t>
        </is>
      </c>
      <c r="G4" s="49" t="inlineStr">
        <is>
          <t>Action Item</t>
        </is>
      </c>
    </row>
    <row r="5">
      <c r="A5" s="42" t="inlineStr">
        <is>
          <t>O1</t>
        </is>
      </c>
      <c r="B5" s="5" t="inlineStr">
        <is>
          <t>North Coast Tourism Boost</t>
        </is>
      </c>
      <c r="C5" s="43" t="inlineStr">
        <is>
          <t>Transforming North Coast into a year-round international tourist destination via SouthMED.</t>
        </is>
      </c>
      <c r="D5" s="43" t="inlineStr">
        <is>
          <t>$21 Billion projected lifetime project value; &gt;25,000 units sold in initial launch phase</t>
        </is>
      </c>
      <c r="E5" s="44" t="inlineStr">
        <is>
          <t>High Topline</t>
        </is>
      </c>
      <c r="F5" s="43" t="inlineStr">
        <is>
          <t>Financial Times &amp; TMG Disclosures</t>
        </is>
      </c>
      <c r="G5" s="43" t="inlineStr">
        <is>
          <t>Develop winterized amenities and international yacht marina infrastructure</t>
        </is>
      </c>
    </row>
    <row r="6">
      <c r="A6" s="45" t="inlineStr">
        <is>
          <t>O2</t>
        </is>
      </c>
      <c r="B6" s="8" t="inlineStr">
        <is>
          <t>Saudi Arabia Expansion</t>
        </is>
      </c>
      <c r="C6" s="46" t="inlineStr">
        <is>
          <t>Expanding master-community model into Riyadh under Saudi National Housing Company (NHC).</t>
        </is>
      </c>
      <c r="D6" s="46" t="inlineStr">
        <is>
          <t>Banan City (10mn sqm landbank, 25k units, SAR 31.4B total projected investment)</t>
        </is>
      </c>
      <c r="E6" s="47" t="inlineStr">
        <is>
          <t>Regional Growth</t>
        </is>
      </c>
      <c r="F6" s="46" t="inlineStr">
        <is>
          <t>TMG KSA / NHC Partnership Filing</t>
        </is>
      </c>
      <c r="G6" s="46" t="inlineStr">
        <is>
          <t>Leverage local Saudi contractors to accelerate site execution</t>
        </is>
      </c>
    </row>
    <row r="7">
      <c r="A7" s="42" t="inlineStr">
        <is>
          <t>O3</t>
        </is>
      </c>
      <c r="B7" s="5" t="inlineStr">
        <is>
          <t>Omani Coastal Development</t>
        </is>
      </c>
      <c r="C7" s="43" t="inlineStr">
        <is>
          <t>Entering Oman's real estate market via partnerships with the Omani Ministry of Housing.</t>
        </is>
      </c>
      <c r="D7" s="43" t="inlineStr">
        <is>
          <t>Jood &amp; Yamal projects (4.9mn sqm landbank, ~14k units, OMR 1.8B projected sales)</t>
        </is>
      </c>
      <c r="E7" s="44" t="inlineStr">
        <is>
          <t>Market Diversification</t>
        </is>
      </c>
      <c r="F7" s="43" t="inlineStr">
        <is>
          <t>Oman Ministry Protocol May 2025</t>
        </is>
      </c>
      <c r="G7" s="43" t="inlineStr">
        <is>
          <t>Establish regional sales hub in Muscat</t>
        </is>
      </c>
    </row>
    <row r="8">
      <c r="A8" s="45" t="inlineStr">
        <is>
          <t>O4</t>
        </is>
      </c>
      <c r="B8" s="8" t="inlineStr">
        <is>
          <t>Sovereign Wealth Partnerships</t>
        </is>
      </c>
      <c r="C8" s="46" t="inlineStr">
        <is>
          <t>Direct equity co-investments with Gulf sovereign wealth funds and Egyptian state banks.</t>
        </is>
      </c>
      <c r="D8" s="46" t="inlineStr">
        <is>
          <t>ADQ/ADNEC $800M investment for 40.5% in ICON; Rawasy EGP 11.9B commercial monetization</t>
        </is>
      </c>
      <c r="E8" s="47" t="inlineStr">
        <is>
          <t>Capital Inflow</t>
        </is>
      </c>
      <c r="F8" s="46" t="inlineStr">
        <is>
          <t>EGX Disclosures &amp; ADQ Press Releases</t>
        </is>
      </c>
      <c r="G8" s="46" t="inlineStr">
        <is>
          <t>Expand joint venture partnerships for large-scale commercial assets</t>
        </is>
      </c>
    </row>
    <row r="9">
      <c r="A9" s="42" t="inlineStr">
        <is>
          <t>O5</t>
        </is>
      </c>
      <c r="B9" s="5" t="inlineStr">
        <is>
          <t>Commercial Asset Monetization</t>
        </is>
      </c>
      <c r="C9" s="43" t="inlineStr">
        <is>
          <t>Selling and leasing prime retail spaces in Open Air Mall, East Hub, and Craft Zone.</t>
        </is>
      </c>
      <c r="D9" s="43" t="inlineStr">
        <is>
          <t>260k sqm GLA at Open Air Mall; expansion of retail leasing recurring cash flow</t>
        </is>
      </c>
      <c r="E9" s="44" t="inlineStr">
        <is>
          <t>High Margin</t>
        </is>
      </c>
      <c r="F9" s="43" t="inlineStr">
        <is>
          <t>TMG Commercial Segment Reports</t>
        </is>
      </c>
      <c r="G9" s="43" t="inlineStr">
        <is>
          <t>Structure long-term triple-net (NNN) commercial leases</t>
        </is>
      </c>
    </row>
    <row r="10">
      <c r="A10" s="45" t="inlineStr">
        <is>
          <t>O6</t>
        </is>
      </c>
      <c r="B10" s="8" t="inlineStr">
        <is>
          <t>Smart City &amp; 5G Infrastructure</t>
        </is>
      </c>
      <c r="C10" s="46" t="inlineStr">
        <is>
          <t>Monetizing smart-city utilities, solar microgrids, and fiber-optic networks across Noor City.</t>
        </is>
      </c>
      <c r="D10" s="46" t="inlineStr">
        <is>
          <t>Integrated 5G smart-city grid, Siemens switchgear JV, solar microgrids</t>
        </is>
      </c>
      <c r="E10" s="47" t="inlineStr">
        <is>
          <t>Recurring Utility</t>
        </is>
      </c>
      <c r="F10" s="46" t="inlineStr">
        <is>
          <t>EMAS Sewedy &amp; TMG Tech Disclosures</t>
        </is>
      </c>
      <c r="G10" s="46" t="inlineStr">
        <is>
          <t>Form dedicated utility management SPVs to capture ongoing service fees</t>
        </is>
      </c>
    </row>
  </sheetData>
  <mergeCells count="1">
    <mergeCell ref="A1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42" customWidth="1" min="4" max="4"/>
    <col width="19" customWidth="1" min="5" max="5"/>
    <col width="25" customWidth="1" min="6" max="6"/>
    <col width="42" customWidth="1" min="7" max="7"/>
  </cols>
  <sheetData>
    <row r="1">
      <c r="A1" s="1" t="inlineStr">
        <is>
          <t>TMG HOLDING - DETAILED ANALYSIS: THREATS &amp; EXTERNAL RISK VECTORS</t>
        </is>
      </c>
    </row>
    <row r="2"/>
    <row r="3"/>
    <row r="4">
      <c r="A4" s="50" t="inlineStr">
        <is>
          <t>ID</t>
        </is>
      </c>
      <c r="B4" s="50" t="inlineStr">
        <is>
          <t>Factor Name</t>
        </is>
      </c>
      <c r="C4" s="50" t="inlineStr">
        <is>
          <t>Forensic Details &amp; Key Evidence</t>
        </is>
      </c>
      <c r="D4" s="50" t="inlineStr">
        <is>
          <t>Supporting Quantified Data</t>
        </is>
      </c>
      <c r="E4" s="50" t="inlineStr">
        <is>
          <t>Strategic Impact</t>
        </is>
      </c>
      <c r="F4" s="50" t="inlineStr">
        <is>
          <t>Source Attribution</t>
        </is>
      </c>
      <c r="G4" s="50" t="inlineStr">
        <is>
          <t>Action Item</t>
        </is>
      </c>
    </row>
    <row r="5">
      <c r="A5" s="42" t="inlineStr">
        <is>
          <t>T1</t>
        </is>
      </c>
      <c r="B5" s="5" t="inlineStr">
        <is>
          <t>Construction Cost Inflation</t>
        </is>
      </c>
      <c r="C5" s="43" t="inlineStr">
        <is>
          <t>Cumulative domestic currency devaluation and imported material inflation push up cost-to-complete.</t>
        </is>
      </c>
      <c r="D5" s="43" t="inlineStr">
        <is>
          <t>Egypt CPI inflation projected &gt;16.7%; fixed-price off-plan sales sold in 2021-2023 at lower cost basis</t>
        </is>
      </c>
      <c r="E5" s="44" t="inlineStr">
        <is>
          <t>Margin Squeeze</t>
        </is>
      </c>
      <c r="F5" s="43" t="inlineStr">
        <is>
          <t>Gleeds Construction Market Report 2026</t>
        </is>
      </c>
      <c r="G5" s="43" t="inlineStr">
        <is>
          <t>Utilize central bulk purchasing and value engineering on finishes</t>
        </is>
      </c>
    </row>
    <row r="6">
      <c r="A6" s="45" t="inlineStr">
        <is>
          <t>T2</t>
        </is>
      </c>
      <c r="B6" s="8" t="inlineStr">
        <is>
          <t>High Domestic Interest Rates</t>
        </is>
      </c>
      <c r="C6" s="46" t="inlineStr">
        <is>
          <t>Elevated CBE policy rates increase borrowing costs and dampen mortgage affordability.</t>
        </is>
      </c>
      <c r="D6" s="46" t="inlineStr">
        <is>
          <t>CBE overnight lending rate at 20%+; TMG interest-bearing debt &amp; lease obligations &gt;EGP 60.5B</t>
        </is>
      </c>
      <c r="E6" s="47" t="inlineStr">
        <is>
          <t>Financial Cost</t>
        </is>
      </c>
      <c r="F6" s="46" t="inlineStr">
        <is>
          <t>Central Bank of Egypt MPC Statements</t>
        </is>
      </c>
      <c r="G6" s="46" t="inlineStr">
        <is>
          <t>Prioritize customer cash collections to minimize bank debt drawdowns</t>
        </is>
      </c>
    </row>
    <row r="7">
      <c r="A7" s="42" t="inlineStr">
        <is>
          <t>T3</t>
        </is>
      </c>
      <c r="B7" s="5" t="inlineStr">
        <is>
          <t>Household Purchasing Strain</t>
        </is>
      </c>
      <c r="C7" s="43" t="inlineStr">
        <is>
          <t>Erosion of domestic consumer real income reduces demand for primary residential property.</t>
        </is>
      </c>
      <c r="D7" s="43" t="inlineStr">
        <is>
          <t>Contracted sales declined 24% YoY in 2025 (EGP 382.2B vs EGP 504.0B in 2024)</t>
        </is>
      </c>
      <c r="E7" s="44" t="inlineStr">
        <is>
          <t>Demand Risk</t>
        </is>
      </c>
      <c r="F7" s="43" t="inlineStr">
        <is>
          <t>EFG Hermes Property Market Outlook 2026</t>
        </is>
      </c>
      <c r="G7" s="43" t="inlineStr">
        <is>
          <t>Introduce flexible extended installment plans (10-12 years)</t>
        </is>
      </c>
    </row>
    <row r="8">
      <c r="A8" s="45" t="inlineStr">
        <is>
          <t>T4</t>
        </is>
      </c>
      <c r="B8" s="8" t="inlineStr">
        <is>
          <t>Consumer Protection Enforcement</t>
        </is>
      </c>
      <c r="C8" s="46" t="inlineStr">
        <is>
          <t>CPA enforcement against 5%-10% resale transfer fees under Article 15 of Law 181/2018.</t>
        </is>
      </c>
      <c r="D8" s="46" t="inlineStr">
        <is>
          <t>Widespread individual civil court rulings ordering refunds of administrative resale fees</t>
        </is>
      </c>
      <c r="E8" s="47" t="inlineStr">
        <is>
          <t>Legal Liability</t>
        </is>
      </c>
      <c r="F8" s="46" t="inlineStr">
        <is>
          <t>Egyptian CPA Rulings &amp; Law 181/2018</t>
        </is>
      </c>
      <c r="G8" s="46" t="inlineStr">
        <is>
          <t>Replace percentage resale fees with flat, cost-justified administrative fees</t>
        </is>
      </c>
    </row>
    <row r="9">
      <c r="A9" s="42" t="inlineStr">
        <is>
          <t>T5</t>
        </is>
      </c>
      <c r="B9" s="5" t="inlineStr">
        <is>
          <t>Land Allocation Scrutiny</t>
        </is>
      </c>
      <c r="C9" s="43" t="inlineStr">
        <is>
          <t>Public policy debates and media scrutiny regarding non-competitive direct state land allocations.</t>
        </is>
      </c>
      <c r="D9" s="43" t="inlineStr">
        <is>
          <t>Historical 2010 SAC Madinaty annulment precedent; 2023 ARIJ investigative reporting</t>
        </is>
      </c>
      <c r="E9" s="44" t="inlineStr">
        <is>
          <t>Regulatory Risk</t>
        </is>
      </c>
      <c r="F9" s="43" t="inlineStr">
        <is>
          <t>Egyptian State Council Rulings &amp; ARIJ 2023</t>
        </is>
      </c>
      <c r="G9" s="43" t="inlineStr">
        <is>
          <t>Ensure all new allocations strictly utilize explicit statutory PPP frameworks</t>
        </is>
      </c>
    </row>
    <row r="10">
      <c r="A10" s="45" t="inlineStr">
        <is>
          <t>T6</t>
        </is>
      </c>
      <c r="B10" s="8" t="inlineStr">
        <is>
          <t>Subcontractor Supply Chain Strain</t>
        </is>
      </c>
      <c r="C10" s="46" t="inlineStr">
        <is>
          <t>Financial pressure on trade subcontractors leading to potential site walk-offs or delivery slippages.</t>
        </is>
      </c>
      <c r="D10" s="46" t="inlineStr">
        <is>
          <t>2008 ACC Shehata Hassan complaint; 2024 Mada Masr SouthMED payment chain risk signal</t>
        </is>
      </c>
      <c r="E10" s="47" t="inlineStr">
        <is>
          <t>Operational Risk</t>
        </is>
      </c>
      <c r="F10" s="46" t="inlineStr">
        <is>
          <t>Forensic Due Diligence &amp; Press Reports</t>
        </is>
      </c>
      <c r="G10" s="46" t="inlineStr">
        <is>
          <t>Caps post-dated check tenors at 60-90 days and ensure direct supplier pay</t>
        </is>
      </c>
    </row>
  </sheetData>
  <mergeCells count="1">
    <mergeCell ref="A1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5" customWidth="1" min="3" max="3"/>
    <col width="25" customWidth="1" min="4" max="4"/>
    <col width="25" customWidth="1" min="5" max="5"/>
    <col width="25" customWidth="1" min="6" max="6"/>
    <col width="20" customWidth="1" min="7" max="7"/>
  </cols>
  <sheetData>
    <row r="1">
      <c r="A1" s="1" t="inlineStr">
        <is>
          <t>TMG HOLDING - STRATEGIC TOWS MATRIX (ACTIONABLE STRATEGIES)</t>
        </is>
      </c>
    </row>
    <row r="2"/>
    <row r="4">
      <c r="A4" s="3" t="inlineStr">
        <is>
          <t>SO STRATEGIES (Strengths + Opportunities) - Maximize - Maximize</t>
        </is>
      </c>
    </row>
    <row r="5">
      <c r="A5" s="4" t="inlineStr">
        <is>
          <t>Strategy ID</t>
        </is>
      </c>
      <c r="B5" s="4" t="inlineStr">
        <is>
          <t>Actionable Corporate Strategy</t>
        </is>
      </c>
      <c r="C5" s="4" t="inlineStr">
        <is>
          <t>Detailed Implementation &amp; Execution Roadmap</t>
        </is>
      </c>
      <c r="G5" s="4" t="inlineStr">
        <is>
          <t>Priority Level</t>
        </is>
      </c>
    </row>
    <row r="6">
      <c r="A6" s="27" t="inlineStr">
        <is>
          <t>SO-1</t>
        </is>
      </c>
      <c r="B6" s="11" t="inlineStr">
        <is>
          <t>Leverage Landbank for Asset-Light Growth</t>
        </is>
      </c>
      <c r="C6" s="18" t="inlineStr">
        <is>
          <t>Combine massive 26k+ feddan landbank with asset-light master development model (SouthMED) to maximize revenue while minimizing balance-sheet risk.</t>
        </is>
      </c>
      <c r="D6" s="51" t="n"/>
      <c r="E6" s="51" t="n"/>
      <c r="F6" s="51" t="n"/>
      <c r="G6" s="27" t="inlineStr">
        <is>
          <t>High Priority</t>
        </is>
      </c>
    </row>
    <row r="7">
      <c r="A7" s="27" t="inlineStr">
        <is>
          <t>SO-2</t>
        </is>
      </c>
      <c r="B7" s="11" t="inlineStr">
        <is>
          <t>Monetize Icon Hotel FX Cash Flows</t>
        </is>
      </c>
      <c r="C7" s="18" t="inlineStr">
        <is>
          <t>Deploy USD/EUR hospitality revenues from Legacy/Four Seasons hotels to fund cross-border regional expansion in KSA (Banan) and Oman (Jood).</t>
        </is>
      </c>
      <c r="D7" s="51" t="n"/>
      <c r="E7" s="51" t="n"/>
      <c r="F7" s="51" t="n"/>
      <c r="G7" s="27" t="inlineStr">
        <is>
          <t>High Priority</t>
        </is>
      </c>
    </row>
    <row r="8">
      <c r="A8" s="27" t="inlineStr">
        <is>
          <t>SO-3</t>
        </is>
      </c>
      <c r="B8" s="11" t="inlineStr">
        <is>
          <t>Scale Commercial Leasing Portfolio</t>
        </is>
      </c>
      <c r="C8" s="18" t="inlineStr">
        <is>
          <t>Utilize EGP 441B backlog visibility to pre-lease commercial retail centers (Open Air Mall, East Hub) and expand recurring revenue base.</t>
        </is>
      </c>
      <c r="D8" s="51" t="n"/>
      <c r="E8" s="51" t="n"/>
      <c r="F8" s="51" t="n"/>
      <c r="G8" s="27" t="inlineStr">
        <is>
          <t>Medium Priority</t>
        </is>
      </c>
    </row>
    <row r="10">
      <c r="A10" s="3" t="inlineStr">
        <is>
          <t>ST STRATEGIES (Strengths + Threats) - Maximize - Minimize</t>
        </is>
      </c>
    </row>
    <row r="11">
      <c r="A11" s="4" t="inlineStr">
        <is>
          <t>Strategy ID</t>
        </is>
      </c>
      <c r="B11" s="4" t="inlineStr">
        <is>
          <t>Actionable Corporate Strategy</t>
        </is>
      </c>
      <c r="C11" s="4" t="inlineStr">
        <is>
          <t>Detailed Implementation &amp; Execution Roadmap</t>
        </is>
      </c>
      <c r="G11" s="4" t="inlineStr">
        <is>
          <t>Priority Level</t>
        </is>
      </c>
    </row>
    <row r="12">
      <c r="A12" s="36" t="inlineStr">
        <is>
          <t>ST-1</t>
        </is>
      </c>
      <c r="B12" s="15" t="inlineStr">
        <is>
          <t>Centralized Bulk Material Hedging</t>
        </is>
      </c>
      <c r="C12" s="23" t="inlineStr">
        <is>
          <t>Use financial scale and liquidity reserves (EGP 66.4B) to bulk-purchase rebar and cement directly, hedging against construction cost inflation.</t>
        </is>
      </c>
      <c r="D12" s="52" t="n"/>
      <c r="E12" s="52" t="n"/>
      <c r="F12" s="52" t="n"/>
      <c r="G12" s="36" t="inlineStr">
        <is>
          <t>High Priority</t>
        </is>
      </c>
    </row>
    <row r="13">
      <c r="A13" s="36" t="inlineStr">
        <is>
          <t>ST-2</t>
        </is>
      </c>
      <c r="B13" s="15" t="inlineStr">
        <is>
          <t>FX Debt &amp; Revenue Matching</t>
        </is>
      </c>
      <c r="C13" s="23" t="inlineStr">
        <is>
          <t>Align foreign currency debt service with USD hospitality earnings, shielding group balance sheet from EGP devaluation shocks.</t>
        </is>
      </c>
      <c r="D13" s="52" t="n"/>
      <c r="E13" s="52" t="n"/>
      <c r="F13" s="52" t="n"/>
      <c r="G13" s="36" t="inlineStr">
        <is>
          <t>High Priority</t>
        </is>
      </c>
    </row>
    <row r="14">
      <c r="A14" s="36" t="inlineStr">
        <is>
          <t>ST-3</t>
        </is>
      </c>
      <c r="B14" s="15" t="inlineStr">
        <is>
          <t>Flexible Customer Financing</t>
        </is>
      </c>
      <c r="C14" s="23" t="inlineStr">
        <is>
          <t>Utilize strong balance sheet to extend unit payment plans to 10-12 years, sustaining sales velocity amidst domestic affordability strain.</t>
        </is>
      </c>
      <c r="D14" s="52" t="n"/>
      <c r="E14" s="52" t="n"/>
      <c r="F14" s="52" t="n"/>
      <c r="G14" s="36" t="inlineStr">
        <is>
          <t>Medium Priority</t>
        </is>
      </c>
    </row>
    <row r="16">
      <c r="A16" s="3" t="inlineStr">
        <is>
          <t>WO STRATEGIES (Weaknesses + Opportunities) - Minimize - Maximize</t>
        </is>
      </c>
    </row>
    <row r="17">
      <c r="A17" s="4" t="inlineStr">
        <is>
          <t>Strategy ID</t>
        </is>
      </c>
      <c r="B17" s="4" t="inlineStr">
        <is>
          <t>Actionable Corporate Strategy</t>
        </is>
      </c>
      <c r="C17" s="4" t="inlineStr">
        <is>
          <t>Detailed Implementation &amp; Execution Roadmap</t>
        </is>
      </c>
      <c r="G17" s="4" t="inlineStr">
        <is>
          <t>Priority Level</t>
        </is>
      </c>
    </row>
    <row r="18">
      <c r="A18" s="33" t="inlineStr">
        <is>
          <t>WO-1</t>
        </is>
      </c>
      <c r="B18" s="14" t="inlineStr">
        <is>
          <t>Refinance High-Cost EGP Debt</t>
        </is>
      </c>
      <c r="C18" s="22" t="inlineStr">
        <is>
          <t>Use sovereign wealth partnerships (ADQ/ADNEC) and Gulf expansion cash flows to substitute 28.6% EGP debt with lower-cost regional credit.</t>
        </is>
      </c>
      <c r="D18" s="53" t="n"/>
      <c r="E18" s="53" t="n"/>
      <c r="F18" s="53" t="n"/>
      <c r="G18" s="33" t="inlineStr">
        <is>
          <t>High Priority</t>
        </is>
      </c>
    </row>
    <row r="19">
      <c r="A19" s="33" t="inlineStr">
        <is>
          <t>WO-2</t>
        </is>
      </c>
      <c r="B19" s="14" t="inlineStr">
        <is>
          <t>Accelerate Cash Conversion via Asset Monetization</t>
        </is>
      </c>
      <c r="C19" s="22" t="inlineStr">
        <is>
          <t>Convert properties under development into liquid cash by monetizing commercial spaces via Rawasy and leasing vehicles to close OCF gap.</t>
        </is>
      </c>
      <c r="D19" s="53" t="n"/>
      <c r="E19" s="53" t="n"/>
      <c r="F19" s="53" t="n"/>
      <c r="G19" s="33" t="inlineStr">
        <is>
          <t>High Priority</t>
        </is>
      </c>
    </row>
    <row r="20">
      <c r="A20" s="33" t="inlineStr">
        <is>
          <t>WO-3</t>
        </is>
      </c>
      <c r="B20" s="14" t="inlineStr">
        <is>
          <t>Enhance Maintenance Reserve Governance</t>
        </is>
      </c>
      <c r="C20" s="22" t="inlineStr">
        <is>
          <t>Establish independent audited trust accounts for Madinaty/Rehab maintenance deposits to eliminate resident litigation and improve brand trust.</t>
        </is>
      </c>
      <c r="D20" s="53" t="n"/>
      <c r="E20" s="53" t="n"/>
      <c r="F20" s="53" t="n"/>
      <c r="G20" s="33" t="inlineStr">
        <is>
          <t>Medium Priority</t>
        </is>
      </c>
    </row>
    <row r="22">
      <c r="A22" s="3" t="inlineStr">
        <is>
          <t>WT STRATEGIES (Weaknesses + Threats) - Minimize - Minimize</t>
        </is>
      </c>
    </row>
    <row r="23">
      <c r="A23" s="4" t="inlineStr">
        <is>
          <t>Strategy ID</t>
        </is>
      </c>
      <c r="B23" s="4" t="inlineStr">
        <is>
          <t>Actionable Corporate Strategy</t>
        </is>
      </c>
      <c r="C23" s="4" t="inlineStr">
        <is>
          <t>Detailed Implementation &amp; Execution Roadmap</t>
        </is>
      </c>
      <c r="G23" s="4" t="inlineStr">
        <is>
          <t>Priority Level</t>
        </is>
      </c>
    </row>
    <row r="24">
      <c r="A24" s="30" t="inlineStr">
        <is>
          <t>WT-1</t>
        </is>
      </c>
      <c r="B24" s="13" t="inlineStr">
        <is>
          <t>Shorten Subcontractor Payment Cycles</t>
        </is>
      </c>
      <c r="C24" s="19" t="inlineStr">
        <is>
          <t>Reduce post-dated check tenors from 270 days to 60-90 days to prevent trade subcontractor insolvency and avoid project completion slippages.</t>
        </is>
      </c>
      <c r="D24" s="54" t="n"/>
      <c r="E24" s="54" t="n"/>
      <c r="F24" s="54" t="n"/>
      <c r="G24" s="30" t="inlineStr">
        <is>
          <t>Critical Priority</t>
        </is>
      </c>
    </row>
    <row r="25">
      <c r="A25" s="30" t="inlineStr">
        <is>
          <t>WT-2</t>
        </is>
      </c>
      <c r="B25" s="13" t="inlineStr">
        <is>
          <t>Reform Resale Fee Structures</t>
        </is>
      </c>
      <c r="C25" s="19" t="inlineStr">
        <is>
          <t>Replace percentage-based resale transfer fees with flat administrative costs to comply with CPA Article 15 and eliminate legal liability.</t>
        </is>
      </c>
      <c r="D25" s="54" t="n"/>
      <c r="E25" s="54" t="n"/>
      <c r="F25" s="54" t="n"/>
      <c r="G25" s="30" t="inlineStr">
        <is>
          <t>High Priority</t>
        </is>
      </c>
    </row>
    <row r="26">
      <c r="A26" s="30" t="inlineStr">
        <is>
          <t>WT-3</t>
        </is>
      </c>
      <c r="B26" s="13" t="inlineStr">
        <is>
          <t>Cap Off-Balance Sheet Lease Leverage</t>
        </is>
      </c>
      <c r="C26" s="19" t="inlineStr">
        <is>
          <t>Freeze new sale-and-leaseback transactions (currently EGP 44B) to ensure debt service obligations do not consume operating cash flows.</t>
        </is>
      </c>
      <c r="D26" s="54" t="n"/>
      <c r="E26" s="54" t="n"/>
      <c r="F26" s="54" t="n"/>
      <c r="G26" s="30" t="inlineStr">
        <is>
          <t>High Priority</t>
        </is>
      </c>
    </row>
  </sheetData>
  <mergeCells count="21">
    <mergeCell ref="C17:F17"/>
    <mergeCell ref="C23:F23"/>
    <mergeCell ref="A1:G2"/>
    <mergeCell ref="C8:F8"/>
    <mergeCell ref="A22:G22"/>
    <mergeCell ref="A4:G4"/>
    <mergeCell ref="C7:F7"/>
    <mergeCell ref="C19:F19"/>
    <mergeCell ref="A10:G10"/>
    <mergeCell ref="C13:F13"/>
    <mergeCell ref="C18:F18"/>
    <mergeCell ref="C6:F6"/>
    <mergeCell ref="C24:F24"/>
    <mergeCell ref="C5:F5"/>
    <mergeCell ref="C14:F14"/>
    <mergeCell ref="C20:F20"/>
    <mergeCell ref="C26:F26"/>
    <mergeCell ref="A16:G16"/>
    <mergeCell ref="C25:F25"/>
    <mergeCell ref="C12:F12"/>
    <mergeCell ref="C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2026-10-12T09:44:36Z</dcterms:created>
  <dcterms:modified xmlns:dcterms="http://purl.org/dc/terms/" xmlns:xsi="http://www.w3.org/2001/XMLSchema-instance" xsi:type="dcterms:W3CDTF">2026-10-12T09:44:36Z</dcterms:modified>
</cp:coreProperties>
</file>