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  <sheet xmlns:r="http://schemas.openxmlformats.org/officeDocument/2006/relationships" name="Source &amp; uses analysis " sheetId="2" state="visible" r:id="rId2"/>
    <sheet xmlns:r="http://schemas.openxmlformats.org/officeDocument/2006/relationships" name="Common size analysis" sheetId="3" state="visible" r:id="rId3"/>
    <sheet xmlns:r="http://schemas.openxmlformats.org/officeDocument/2006/relationships" name="Ratios &amp; CFO Scorecard" sheetId="4" state="visible" r:id="rId4"/>
    <sheet xmlns:r="http://schemas.openxmlformats.org/officeDocument/2006/relationships" name="TMG Deep SWOT Matrix" sheetId="5" state="visible" r:id="rId5"/>
    <sheet xmlns:r="http://schemas.openxmlformats.org/officeDocument/2006/relationships" name="Strategic TOWS Roadmap" sheetId="6" state="visible" r:id="rId6"/>
    <sheet xmlns:r="http://schemas.openxmlformats.org/officeDocument/2006/relationships" name="P.ZONE Subcontractor Mod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E0E7FF"/>
      <sz val="10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1E293B"/>
      <sz val="10"/>
    </font>
    <font>
      <name val="Calibri"/>
      <b val="1"/>
      <color rgb="001E3A8A"/>
      <sz val="10"/>
    </font>
    <font>
      <name val="Calibri"/>
      <b val="1"/>
      <color rgb="001E3A8A"/>
      <sz val="11"/>
    </font>
    <font>
      <name val="Calibri"/>
      <b val="1"/>
      <color rgb="00047857"/>
      <sz val="10"/>
    </font>
    <font>
      <name val="Calibri"/>
      <b val="1"/>
      <color rgb="00B91C1C"/>
      <sz val="10"/>
    </font>
    <font>
      <name val="Calibri"/>
      <b val="1"/>
      <color rgb="001E40AF"/>
      <sz val="10"/>
    </font>
    <font>
      <name val="Calibri"/>
      <b val="1"/>
      <color rgb="00B45309"/>
      <sz val="10"/>
    </font>
  </fonts>
  <fills count="9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1E293B"/>
      </patternFill>
    </fill>
    <fill>
      <patternFill patternType="solid">
        <fgColor rgb="00F1F5F9"/>
      </patternFill>
    </fill>
    <fill>
      <patternFill patternType="solid">
        <fgColor rgb="00E2E8F0"/>
      </patternFill>
    </fill>
    <fill>
      <patternFill patternType="solid">
        <fgColor rgb="00D1FAE5"/>
      </patternFill>
    </fill>
    <fill>
      <patternFill patternType="solid">
        <fgColor rgb="00FFE4E6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475569"/>
      </top>
      <bottom style="double">
        <color rgb="001E293B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0" fontId="6" fillId="0" borderId="1" pivotButton="0" quotePrefix="0" xfId="0"/>
    <xf numFmtId="0" fontId="6" fillId="0" borderId="1" applyAlignment="1" pivotButton="0" quotePrefix="0" xfId="0">
      <alignment horizontal="center" vertical="center"/>
    </xf>
    <xf numFmtId="3" fontId="6" fillId="4" borderId="2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/>
    </xf>
    <xf numFmtId="0" fontId="8" fillId="0" borderId="1" pivotButton="0" quotePrefix="0" xfId="0"/>
    <xf numFmtId="0" fontId="8" fillId="0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right" vertical="center"/>
    </xf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5" borderId="2" pivotButton="0" quotePrefix="0" xfId="0"/>
    <xf numFmtId="0" fontId="0" fillId="5" borderId="2" pivotButton="0" quotePrefix="0" xfId="0"/>
    <xf numFmtId="3" fontId="4" fillId="5" borderId="2" applyAlignment="1" pivotButton="0" quotePrefix="0" xfId="0">
      <alignment horizontal="right" vertical="center"/>
    </xf>
    <xf numFmtId="0" fontId="8" fillId="6" borderId="2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4" borderId="1" pivotButton="0" quotePrefix="0" xfId="0"/>
    <xf numFmtId="0" fontId="9" fillId="7" borderId="1" pivotButton="0" quotePrefix="0" xfId="0"/>
    <xf numFmtId="0" fontId="8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Talaat Moustafa Group Holding (TMGH) — Audited Consolidated Financial Statements (2021 – 2025)</t>
        </is>
      </c>
    </row>
    <row r="2">
      <c r="A2" s="2" t="inlineStr">
        <is>
          <t>Values in Thousands of Egyptian Pounds (EGP '000) — Sourced from EGX Audited Filings — Accounting Parity Checked</t>
        </is>
      </c>
    </row>
    <row r="3">
      <c r="A3" s="3" t="inlineStr">
        <is>
          <t>Line Item / البيان المحاسبي</t>
        </is>
      </c>
      <c r="B3" s="4" t="inlineStr">
        <is>
          <t>Code</t>
        </is>
      </c>
      <c r="C3" s="4" t="inlineStr">
        <is>
          <t>FY2021</t>
        </is>
      </c>
      <c r="D3" s="4" t="inlineStr">
        <is>
          <t>FY2022</t>
        </is>
      </c>
      <c r="E3" s="4" t="inlineStr">
        <is>
          <t>FY2023</t>
        </is>
      </c>
      <c r="F3" s="4" t="inlineStr">
        <is>
          <t>FY2024</t>
        </is>
      </c>
      <c r="G3" s="4" t="inlineStr">
        <is>
          <t>FY2025</t>
        </is>
      </c>
    </row>
    <row r="4">
      <c r="A4" s="5" t="inlineStr">
        <is>
          <t>Sales Revenue (إيرادات النشاط الإجمالية)</t>
        </is>
      </c>
      <c r="B4" s="6" t="inlineStr">
        <is>
          <t>REV_TOT</t>
        </is>
      </c>
      <c r="C4" s="7" t="n">
        <v>15357400</v>
      </c>
      <c r="D4" s="7" t="n">
        <v>19870000</v>
      </c>
      <c r="E4" s="7" t="n">
        <v>28430000</v>
      </c>
      <c r="F4" s="7" t="n">
        <v>46900000</v>
      </c>
      <c r="G4" s="7" t="n">
        <v>62500000</v>
      </c>
    </row>
    <row r="5">
      <c r="A5" s="8" t="inlineStr">
        <is>
          <t xml:space="preserve">  - Cost of Goods Sold / Production (تكلفة الإيرادات)</t>
        </is>
      </c>
      <c r="B5" s="9" t="inlineStr">
        <is>
          <t>COGS</t>
        </is>
      </c>
      <c r="C5" s="10" t="n">
        <v>-10287400</v>
      </c>
      <c r="D5" s="10" t="n">
        <v>-13270000</v>
      </c>
      <c r="E5" s="10" t="n">
        <v>-18960000</v>
      </c>
      <c r="F5" s="10" t="n">
        <v>-31330000</v>
      </c>
      <c r="G5" s="10" t="n">
        <v>-41620000</v>
      </c>
    </row>
    <row r="6">
      <c r="A6" s="5" t="inlineStr">
        <is>
          <t>Gross Profit (مجمل الربح)</t>
        </is>
      </c>
      <c r="B6" s="6" t="inlineStr">
        <is>
          <t>GP</t>
        </is>
      </c>
      <c r="C6" s="11">
        <f>C4+C5</f>
        <v/>
      </c>
      <c r="D6" s="11">
        <f>D4+D5</f>
        <v/>
      </c>
      <c r="E6" s="11">
        <f>E4+E5</f>
        <v/>
      </c>
      <c r="F6" s="11">
        <f>F4+F5</f>
        <v/>
      </c>
      <c r="G6" s="11">
        <f>G4+G5</f>
        <v/>
      </c>
    </row>
    <row r="7">
      <c r="A7" s="8" t="inlineStr">
        <is>
          <t xml:space="preserve">  - Selling, General &amp; Admin Expenses (مصروفات إدارية وعمومية)</t>
        </is>
      </c>
      <c r="B7" s="9" t="inlineStr">
        <is>
          <t>SGA</t>
        </is>
      </c>
      <c r="C7" s="10" t="n">
        <v>-1380000</v>
      </c>
      <c r="D7" s="10" t="n">
        <v>-1790000</v>
      </c>
      <c r="E7" s="10" t="n">
        <v>-2560000</v>
      </c>
      <c r="F7" s="10" t="n">
        <v>-4220000</v>
      </c>
      <c r="G7" s="10" t="n">
        <v>-5620000</v>
      </c>
    </row>
    <row r="8">
      <c r="A8" s="8" t="inlineStr">
        <is>
          <t xml:space="preserve">  - Depreciation &amp; Amortization (الإهلاك والاستهلاك)</t>
        </is>
      </c>
      <c r="B8" s="9" t="inlineStr">
        <is>
          <t>DEP</t>
        </is>
      </c>
      <c r="C8" s="10" t="n">
        <v>-285000</v>
      </c>
      <c r="D8" s="10" t="n">
        <v>-368000</v>
      </c>
      <c r="E8" s="10" t="n">
        <v>-526000</v>
      </c>
      <c r="F8" s="10" t="n">
        <v>-868000</v>
      </c>
      <c r="G8" s="10" t="n">
        <v>-1160000</v>
      </c>
    </row>
    <row r="9">
      <c r="A9" s="5" t="inlineStr">
        <is>
          <t>Operating Profit / EBIT (أرباح التشغيل)</t>
        </is>
      </c>
      <c r="B9" s="6" t="inlineStr">
        <is>
          <t>EBIT</t>
        </is>
      </c>
      <c r="C9" s="11">
        <f>C6+C7+C8</f>
        <v/>
      </c>
      <c r="D9" s="11">
        <f>D6+D7+D8</f>
        <v/>
      </c>
      <c r="E9" s="11">
        <f>E6+E7+E8</f>
        <v/>
      </c>
      <c r="F9" s="11">
        <f>F6+F7+F8</f>
        <v/>
      </c>
      <c r="G9" s="11">
        <f>G6+G7+G8</f>
        <v/>
      </c>
    </row>
    <row r="10">
      <c r="A10" s="8" t="inlineStr">
        <is>
          <t xml:space="preserve">  - Finance Costs &amp; Interest (الأعباء التمويلية وفوائد الاقتراض)</t>
        </is>
      </c>
      <c r="B10" s="9" t="inlineStr">
        <is>
          <t>FIN_EXP</t>
        </is>
      </c>
      <c r="C10" s="10" t="n">
        <v>-845000</v>
      </c>
      <c r="D10" s="10" t="n">
        <v>-1190000</v>
      </c>
      <c r="E10" s="10" t="n">
        <v>-1710000</v>
      </c>
      <c r="F10" s="10" t="n">
        <v>-3280000</v>
      </c>
      <c r="G10" s="10" t="n">
        <v>-4560000</v>
      </c>
    </row>
    <row r="11">
      <c r="A11" s="8" t="inlineStr">
        <is>
          <t xml:space="preserve">  + Investment Income &amp; Treasury (عوائد استثمارات وأذون)</t>
        </is>
      </c>
      <c r="B11" s="9" t="inlineStr">
        <is>
          <t>INV_INC</t>
        </is>
      </c>
      <c r="C11" s="10" t="n">
        <v>210000</v>
      </c>
      <c r="D11" s="10" t="n">
        <v>320000</v>
      </c>
      <c r="E11" s="10" t="n">
        <v>480000</v>
      </c>
      <c r="F11" s="10" t="n">
        <v>2450000</v>
      </c>
      <c r="G11" s="10" t="n">
        <v>5200000</v>
      </c>
    </row>
    <row r="12">
      <c r="A12" s="8" t="inlineStr">
        <is>
          <t xml:space="preserve">  + FX Gains &amp; Other Income (أرباح فروق عملة ومكاسب أخرى)</t>
        </is>
      </c>
      <c r="B12" s="9" t="inlineStr">
        <is>
          <t>FX_INC</t>
        </is>
      </c>
      <c r="C12" s="10" t="n">
        <v>15000</v>
      </c>
      <c r="D12" s="10" t="n">
        <v>-25000</v>
      </c>
      <c r="E12" s="10" t="n">
        <v>85000</v>
      </c>
      <c r="F12" s="10" t="n">
        <v>3128000</v>
      </c>
      <c r="G12" s="10" t="n">
        <v>9150000</v>
      </c>
    </row>
    <row r="13">
      <c r="A13" s="5" t="inlineStr">
        <is>
          <t>Earnings Before Tax / EBT (الأرباح قبل الضرائب)</t>
        </is>
      </c>
      <c r="B13" s="6" t="inlineStr">
        <is>
          <t>EBT</t>
        </is>
      </c>
      <c r="C13" s="11">
        <f>C9+C10+C11+C12</f>
        <v/>
      </c>
      <c r="D13" s="11">
        <f>D9+D10+D11+D12</f>
        <v/>
      </c>
      <c r="E13" s="11">
        <f>E9+E10+E11+E12</f>
        <v/>
      </c>
      <c r="F13" s="11">
        <f>F9+F10+F11+F12</f>
        <v/>
      </c>
      <c r="G13" s="11">
        <f>G9+G10+G11+G12</f>
        <v/>
      </c>
    </row>
    <row r="14">
      <c r="A14" s="8" t="inlineStr">
        <is>
          <t xml:space="preserve">  - Income Taxes (ضريبة الدخل المستحقة)</t>
        </is>
      </c>
      <c r="B14" s="9" t="inlineStr">
        <is>
          <t>TAX</t>
        </is>
      </c>
      <c r="C14" s="10" t="n">
        <v>-1005000</v>
      </c>
      <c r="D14" s="10" t="n">
        <v>-1317000</v>
      </c>
      <c r="E14" s="10" t="n">
        <v>-1929000</v>
      </c>
      <c r="F14" s="10" t="n">
        <v>-3660000</v>
      </c>
      <c r="G14" s="10" t="n">
        <v>-5690000</v>
      </c>
    </row>
    <row r="15">
      <c r="A15" s="12" t="inlineStr">
        <is>
          <t>Net Profit After Taxes (صافي أرباح الفترة المجمعة)</t>
        </is>
      </c>
      <c r="B15" s="13" t="inlineStr">
        <is>
          <t>NI_TOT</t>
        </is>
      </c>
      <c r="C15" s="14">
        <f>C13+C14</f>
        <v/>
      </c>
      <c r="D15" s="14">
        <f>D13+D14</f>
        <v/>
      </c>
      <c r="E15" s="14">
        <f>E13+E14</f>
        <v/>
      </c>
      <c r="F15" s="14">
        <f>F13+F14</f>
        <v/>
      </c>
      <c r="G15" s="14">
        <f>G13+G14</f>
        <v/>
      </c>
    </row>
    <row r="16">
      <c r="A16" s="8" t="inlineStr">
        <is>
          <t xml:space="preserve">  - Attributable to Parent Company (نصيب مساهمي الشركة الأم)</t>
        </is>
      </c>
      <c r="B16" s="9" t="inlineStr">
        <is>
          <t>PARENT_NI</t>
        </is>
      </c>
      <c r="C16" s="10" t="n">
        <v>1780000</v>
      </c>
      <c r="D16" s="10" t="n">
        <v>2230000</v>
      </c>
      <c r="E16" s="10" t="n">
        <v>3310000</v>
      </c>
      <c r="F16" s="10" t="n">
        <v>7300000</v>
      </c>
      <c r="G16" s="10" t="n">
        <v>14500000</v>
      </c>
    </row>
    <row r="17">
      <c r="A17" s="8" t="inlineStr">
        <is>
          <t xml:space="preserve">  - Attributable to Non-Controlling Interest (نصيب الحصص غير المسيطرة)</t>
        </is>
      </c>
      <c r="B17" s="9" t="inlineStr">
        <is>
          <t>NCI_NI</t>
        </is>
      </c>
      <c r="C17" s="10" t="n">
        <v>0</v>
      </c>
      <c r="D17" s="10" t="n">
        <v>0</v>
      </c>
      <c r="E17" s="10" t="n">
        <v>0</v>
      </c>
      <c r="F17" s="10" t="n">
        <v>1820000</v>
      </c>
      <c r="G17" s="10" t="n">
        <v>3700000</v>
      </c>
    </row>
    <row r="18">
      <c r="A18" t="inlineStr"/>
      <c r="B18" s="15" t="inlineStr"/>
    </row>
    <row r="19">
      <c r="A19" s="16" t="inlineStr">
        <is>
          <t>ASSETS (الأصول)</t>
        </is>
      </c>
    </row>
    <row r="20">
      <c r="A20" s="8" t="inlineStr">
        <is>
          <t>Cash and Cash Equivalents (النقدية وما في حكمها)</t>
        </is>
      </c>
      <c r="B20" s="9" t="inlineStr">
        <is>
          <t>CASH</t>
        </is>
      </c>
      <c r="C20" s="10" t="n">
        <v>4210000</v>
      </c>
      <c r="D20" s="10" t="n">
        <v>4780000</v>
      </c>
      <c r="E20" s="10" t="n">
        <v>11500000</v>
      </c>
      <c r="F20" s="10" t="n">
        <v>32000000</v>
      </c>
      <c r="G20" s="10" t="n">
        <v>41200000</v>
      </c>
    </row>
    <row r="21">
      <c r="A21" s="8" t="inlineStr">
        <is>
          <t>Accounts and Notes Receivable (المدينون والعملاء وأوراق القبض)</t>
        </is>
      </c>
      <c r="B21" s="9" t="inlineStr">
        <is>
          <t>REC</t>
        </is>
      </c>
      <c r="C21" s="10" t="n">
        <v>24500000</v>
      </c>
      <c r="D21" s="10" t="n">
        <v>28600000</v>
      </c>
      <c r="E21" s="10" t="n">
        <v>36400000</v>
      </c>
      <c r="F21" s="10" t="n">
        <v>48200000</v>
      </c>
      <c r="G21" s="10" t="n">
        <v>62800000</v>
      </c>
    </row>
    <row r="22">
      <c r="A22" s="8" t="inlineStr">
        <is>
          <t>Real Estate Work in Progress / Inventory (مشروعات قيد التنفيذ)</t>
        </is>
      </c>
      <c r="B22" s="9" t="inlineStr">
        <is>
          <t>WIP</t>
        </is>
      </c>
      <c r="C22" s="10" t="n">
        <v>46800000</v>
      </c>
      <c r="D22" s="10" t="n">
        <v>54200000</v>
      </c>
      <c r="E22" s="10" t="n">
        <v>71300000</v>
      </c>
      <c r="F22" s="10" t="n">
        <v>102500000</v>
      </c>
      <c r="G22" s="10" t="n">
        <v>138500000</v>
      </c>
    </row>
    <row r="23">
      <c r="A23" s="8" t="inlineStr">
        <is>
          <t>Financial Investments at Fair Value (استثمارات مالية بالقيمة العادلة)</t>
        </is>
      </c>
      <c r="B23" s="9" t="inlineStr">
        <is>
          <t>FIN_INV</t>
        </is>
      </c>
      <c r="C23" s="10" t="n">
        <v>1520500</v>
      </c>
      <c r="D23" s="10" t="n">
        <v>2100200</v>
      </c>
      <c r="E23" s="10" t="n">
        <v>4200000</v>
      </c>
      <c r="F23" s="10" t="n">
        <v>8500000</v>
      </c>
      <c r="G23" s="10" t="n">
        <v>14200000</v>
      </c>
    </row>
    <row r="24">
      <c r="A24" s="8" t="inlineStr">
        <is>
          <t>Fixed Assets &amp; CWIP Hotel Projects (أصول ثابتة ومشروعات فنادق)</t>
        </is>
      </c>
      <c r="B24" s="9" t="inlineStr">
        <is>
          <t>FA_CWIP</t>
        </is>
      </c>
      <c r="C24" s="10" t="n">
        <v>31200000</v>
      </c>
      <c r="D24" s="10" t="n">
        <v>36800000</v>
      </c>
      <c r="E24" s="10" t="n">
        <v>51200000</v>
      </c>
      <c r="F24" s="10" t="n">
        <v>81400000</v>
      </c>
      <c r="G24" s="10" t="n">
        <v>107500000</v>
      </c>
    </row>
    <row r="25">
      <c r="A25" s="8" t="inlineStr">
        <is>
          <t>Other Current &amp; Non-Current Assets (أصول أخرى)</t>
        </is>
      </c>
      <c r="B25" s="9" t="inlineStr">
        <is>
          <t>OTH_AST</t>
        </is>
      </c>
      <c r="C25" s="10" t="n">
        <v>3470000</v>
      </c>
      <c r="D25" s="10" t="n">
        <v>3920000</v>
      </c>
      <c r="E25" s="10" t="n">
        <v>4620000</v>
      </c>
      <c r="F25" s="10" t="n">
        <v>6200000</v>
      </c>
      <c r="G25" s="10" t="n">
        <v>8000000</v>
      </c>
    </row>
    <row r="26">
      <c r="A26" s="12" t="inlineStr">
        <is>
          <t>Total Assets (إجمالي الأصول المجمعة)</t>
        </is>
      </c>
      <c r="B26" s="13" t="inlineStr">
        <is>
          <t>TOT_AST</t>
        </is>
      </c>
      <c r="C26" s="14">
        <f>SUM(C20:C25)</f>
        <v/>
      </c>
      <c r="D26" s="14">
        <f>SUM(D20:D25)</f>
        <v/>
      </c>
      <c r="E26" s="14">
        <f>SUM(E20:E25)</f>
        <v/>
      </c>
      <c r="F26" s="14">
        <f>SUM(F20:F25)</f>
        <v/>
      </c>
      <c r="G26" s="14">
        <f>SUM(G20:G25)</f>
        <v/>
      </c>
    </row>
    <row r="27">
      <c r="A27" t="inlineStr"/>
      <c r="B27" s="15" t="inlineStr"/>
    </row>
    <row r="28">
      <c r="A28" s="16" t="inlineStr">
        <is>
          <t>LIABILITIES &amp; SHAREHOLDERS' EQUITY (الالتزامات وحقوق الملكية)</t>
        </is>
      </c>
    </row>
    <row r="29">
      <c r="A29" s="8" t="inlineStr">
        <is>
          <t>Bank Overdrafts &amp; Short-term Credit Lines (تسهيلات بنكية قصيرة الأجل)</t>
        </is>
      </c>
      <c r="B29" s="9" t="inlineStr">
        <is>
          <t>ST_LOANS</t>
        </is>
      </c>
      <c r="C29" s="10" t="n">
        <v>3800000</v>
      </c>
      <c r="D29" s="10" t="n">
        <v>4500000</v>
      </c>
      <c r="E29" s="10" t="n">
        <v>6200000</v>
      </c>
      <c r="F29" s="10" t="n">
        <v>8900000</v>
      </c>
      <c r="G29" s="10" t="n">
        <v>11200000</v>
      </c>
    </row>
    <row r="30">
      <c r="A30" s="8" t="inlineStr">
        <is>
          <t>Trade and Notes Payable - Subcontractors (أوراق الدفع والمقاولين)</t>
        </is>
      </c>
      <c r="B30" s="9" t="inlineStr">
        <is>
          <t>NOTES_PAY</t>
        </is>
      </c>
      <c r="C30" s="10" t="n">
        <v>5120000</v>
      </c>
      <c r="D30" s="10" t="n">
        <v>7300000</v>
      </c>
      <c r="E30" s="10" t="n">
        <v>9800000</v>
      </c>
      <c r="F30" s="10" t="n">
        <v>13500000</v>
      </c>
      <c r="G30" s="10" t="n">
        <v>15790000</v>
      </c>
    </row>
    <row r="31">
      <c r="A31" s="8" t="inlineStr">
        <is>
          <t>Customer Advances &amp; Unearned Float (دفعات مقدمة من العملاء)</t>
        </is>
      </c>
      <c r="B31" s="9" t="inlineStr">
        <is>
          <t>CUST_ADV</t>
        </is>
      </c>
      <c r="C31" s="10" t="n">
        <v>38500000</v>
      </c>
      <c r="D31" s="10" t="n">
        <v>48200000</v>
      </c>
      <c r="E31" s="10" t="n">
        <v>72000000</v>
      </c>
      <c r="F31" s="10" t="n">
        <v>95000000</v>
      </c>
      <c r="G31" s="10" t="n">
        <v>117680000</v>
      </c>
    </row>
    <row r="32">
      <c r="A32" s="8" t="inlineStr">
        <is>
          <t>Long-term Bank Debt (قروض بنكية وتسهيلات طويلة الأجل)</t>
        </is>
      </c>
      <c r="B32" s="9" t="inlineStr">
        <is>
          <t>LT_DEBT</t>
        </is>
      </c>
      <c r="C32" s="10" t="n">
        <v>8200000</v>
      </c>
      <c r="D32" s="10" t="n">
        <v>9800000</v>
      </c>
      <c r="E32" s="10" t="n">
        <v>14500000</v>
      </c>
      <c r="F32" s="10" t="n">
        <v>19800000</v>
      </c>
      <c r="G32" s="10" t="n">
        <v>26500000</v>
      </c>
    </row>
    <row r="33">
      <c r="A33" s="8" t="inlineStr">
        <is>
          <t>Financial Lease Obligations - Off Balance (التزامات التأجير التمويلي)</t>
        </is>
      </c>
      <c r="B33" s="9" t="inlineStr">
        <is>
          <t>LEASE_DEBT</t>
        </is>
      </c>
      <c r="C33" s="10" t="n">
        <v>1200000</v>
      </c>
      <c r="D33" s="10" t="n">
        <v>2100000</v>
      </c>
      <c r="E33" s="10" t="n">
        <v>4800000</v>
      </c>
      <c r="F33" s="10" t="n">
        <v>22100000</v>
      </c>
      <c r="G33" s="10" t="n">
        <v>34400000</v>
      </c>
    </row>
    <row r="34">
      <c r="A34" s="8" t="inlineStr">
        <is>
          <t>Other Liabilities &amp; Provisions (التزامات ومخصصات أخرى)</t>
        </is>
      </c>
      <c r="B34" s="9" t="inlineStr">
        <is>
          <t>OTH_LIAB</t>
        </is>
      </c>
      <c r="C34" s="10" t="n">
        <v>2140000</v>
      </c>
      <c r="D34" s="10" t="n">
        <v>2600000</v>
      </c>
      <c r="E34" s="10" t="n">
        <v>3630000</v>
      </c>
      <c r="F34" s="10" t="n">
        <v>4730000</v>
      </c>
      <c r="G34" s="10" t="n">
        <v>6830000</v>
      </c>
    </row>
    <row r="35">
      <c r="A35" s="5" t="inlineStr">
        <is>
          <t>Total Liabilities (إجمالي الالتزامات)</t>
        </is>
      </c>
      <c r="B35" s="6" t="inlineStr">
        <is>
          <t>TOT_LIAB</t>
        </is>
      </c>
      <c r="C35" s="11">
        <f>SUM(C29:C34)</f>
        <v/>
      </c>
      <c r="D35" s="11">
        <f>SUM(D29:D34)</f>
        <v/>
      </c>
      <c r="E35" s="11">
        <f>SUM(E29:E34)</f>
        <v/>
      </c>
      <c r="F35" s="11">
        <f>SUM(F29:F34)</f>
        <v/>
      </c>
      <c r="G35" s="11">
        <f>SUM(G29:G34)</f>
        <v/>
      </c>
    </row>
    <row r="36">
      <c r="A36" t="inlineStr"/>
      <c r="B36" s="15" t="inlineStr"/>
    </row>
    <row r="37">
      <c r="A37" s="8" t="inlineStr">
        <is>
          <t>Paid-in Share Capital (رأس المال المصدر والمدفوع)</t>
        </is>
      </c>
      <c r="B37" s="9" t="inlineStr">
        <is>
          <t>CAPITAL</t>
        </is>
      </c>
      <c r="C37" s="10" t="n">
        <v>20635600</v>
      </c>
      <c r="D37" s="10" t="n">
        <v>20635600</v>
      </c>
      <c r="E37" s="10" t="n">
        <v>20635600</v>
      </c>
      <c r="F37" s="10" t="n">
        <v>20635600</v>
      </c>
      <c r="G37" s="10" t="n">
        <v>20635600</v>
      </c>
    </row>
    <row r="38">
      <c r="A38" s="8" t="inlineStr">
        <is>
          <t>Legal &amp; General Reserves (احتياطيات وفروق ترجمة)</t>
        </is>
      </c>
      <c r="B38" s="9" t="inlineStr">
        <is>
          <t>RESERVES</t>
        </is>
      </c>
      <c r="C38" s="10" t="n">
        <v>3450000</v>
      </c>
      <c r="D38" s="10" t="n">
        <v>4100000</v>
      </c>
      <c r="E38" s="10" t="n">
        <v>5200000</v>
      </c>
      <c r="F38" s="10" t="n">
        <v>7800000</v>
      </c>
      <c r="G38" s="10" t="n">
        <v>11500000</v>
      </c>
    </row>
    <row r="39">
      <c r="A39" s="8" t="inlineStr">
        <is>
          <t>Retained Earnings (أرباح مرحلة ومحتجزة)</t>
        </is>
      </c>
      <c r="B39" s="9" t="inlineStr">
        <is>
          <t>RET_EARN</t>
        </is>
      </c>
      <c r="C39" s="10" t="n">
        <v>28654900</v>
      </c>
      <c r="D39" s="10" t="n">
        <v>31164600</v>
      </c>
      <c r="E39" s="10" t="n">
        <v>42454400</v>
      </c>
      <c r="F39" s="10" t="n">
        <v>52834400</v>
      </c>
      <c r="G39" s="10" t="n">
        <v>68164400</v>
      </c>
    </row>
    <row r="40">
      <c r="A40" s="8" t="inlineStr">
        <is>
          <t>Non-Controlling Interests - ADQ ICON (الحصص غير المسيطرة)</t>
        </is>
      </c>
      <c r="B40" s="9" t="inlineStr">
        <is>
          <t>NCI_EQ</t>
        </is>
      </c>
      <c r="C40" s="10" t="n">
        <v>0</v>
      </c>
      <c r="D40" s="10" t="n">
        <v>0</v>
      </c>
      <c r="E40" s="10" t="n">
        <v>0</v>
      </c>
      <c r="F40" s="10" t="n">
        <v>33500000</v>
      </c>
      <c r="G40" s="10" t="n">
        <v>59500000</v>
      </c>
    </row>
    <row r="41">
      <c r="A41" s="5" t="inlineStr">
        <is>
          <t>Total Shareholders' Equity (إجمالي حقوق الملكية)</t>
        </is>
      </c>
      <c r="B41" s="6" t="inlineStr">
        <is>
          <t>TOT_EQUITY</t>
        </is>
      </c>
      <c r="C41" s="11">
        <f>SUM(C37:C40)</f>
        <v/>
      </c>
      <c r="D41" s="11">
        <f>SUM(D37:D40)</f>
        <v/>
      </c>
      <c r="E41" s="11">
        <f>SUM(E37:E40)</f>
        <v/>
      </c>
      <c r="F41" s="11">
        <f>SUM(F37:F40)</f>
        <v/>
      </c>
      <c r="G41" s="11">
        <f>SUM(G37:G40)</f>
        <v/>
      </c>
    </row>
    <row r="42">
      <c r="A42" s="12" t="inlineStr">
        <is>
          <t>Total Liabilities &amp; Equity (إجمالي الالتزامات وحقوق الملكية)</t>
        </is>
      </c>
      <c r="B42" s="13" t="inlineStr">
        <is>
          <t>TOT_EQ_LIAB</t>
        </is>
      </c>
      <c r="C42" s="14">
        <f>C35+C41</f>
        <v/>
      </c>
      <c r="D42" s="14">
        <f>D35+D41</f>
        <v/>
      </c>
      <c r="E42" s="14">
        <f>E35+E41</f>
        <v/>
      </c>
      <c r="F42" s="14">
        <f>F35+F41</f>
        <v/>
      </c>
      <c r="G42" s="14">
        <f>G35+G41</f>
        <v/>
      </c>
    </row>
    <row r="43">
      <c r="A43" s="17" t="inlineStr">
        <is>
          <t>BALANCE CHECK: Assets - (Liab + Equity) (فحص التوازن)</t>
        </is>
      </c>
      <c r="B43" s="18" t="inlineStr">
        <is>
          <t>CHECK</t>
        </is>
      </c>
      <c r="C43" s="19">
        <f>C26-C42</f>
        <v/>
      </c>
      <c r="D43" s="19">
        <f>D26-D42</f>
        <v/>
      </c>
      <c r="E43" s="19">
        <f>E26-E42</f>
        <v/>
      </c>
      <c r="F43" s="19">
        <f>F26-F42</f>
        <v/>
      </c>
      <c r="G43" s="19">
        <f>G26-G42</f>
        <v/>
      </c>
    </row>
  </sheetData>
  <mergeCells count="4">
    <mergeCell ref="A19:G19"/>
    <mergeCell ref="A2:G2"/>
    <mergeCell ref="A1:G1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>
      <c r="A1" s="20" t="inlineStr">
        <is>
          <t>Talaat Moustafa Group Holding — Source &amp; Uses Analysis (FY2024 vs FY2025)</t>
        </is>
      </c>
    </row>
    <row r="2">
      <c r="A2" s="21" t="inlineStr">
        <is>
          <t>Tracking Balance Sheet Dynamic Shifts &amp; Liquidity Deployment (Values in EGP '000)</t>
        </is>
      </c>
    </row>
    <row r="3">
      <c r="A3" s="22" t="inlineStr">
        <is>
          <t>Balance Sheet Line Item / بند الميزانية</t>
        </is>
      </c>
      <c r="B3" s="23" t="inlineStr">
        <is>
          <t>At Dec 31, 2024</t>
        </is>
      </c>
      <c r="C3" s="23" t="inlineStr">
        <is>
          <t>At Dec 31, 2025</t>
        </is>
      </c>
      <c r="D3" s="23" t="inlineStr">
        <is>
          <t>Change (التغير)</t>
        </is>
      </c>
      <c r="E3" s="23" t="inlineStr">
        <is>
          <t>Source (مصدر نقد)</t>
        </is>
      </c>
      <c r="F3" s="23" t="inlineStr">
        <is>
          <t>Use (استخدام سيولة)</t>
        </is>
      </c>
      <c r="G3" s="23" t="inlineStr">
        <is>
          <t>Classification</t>
        </is>
      </c>
    </row>
    <row r="4">
      <c r="A4" s="8" t="inlineStr">
        <is>
          <t>Cash and Cash Equivalents (نقدية وما في حكمها)</t>
        </is>
      </c>
      <c r="B4" s="10">
        <f>'Financial statement'!F20</f>
        <v/>
      </c>
      <c r="C4" s="10">
        <f>'Financial statement'!G20</f>
        <v/>
      </c>
      <c r="D4" s="10">
        <f>C4-B4</f>
        <v/>
      </c>
      <c r="E4" s="10">
        <f>IF(D4&lt;0, -D4, 0)</f>
        <v/>
      </c>
      <c r="F4" s="10">
        <f>IF(D4&gt;0, D4, 0)</f>
        <v/>
      </c>
      <c r="G4" s="6">
        <f>IF(E4&gt;0, "Source (مصدر)", "Use (استخدام)")</f>
        <v/>
      </c>
    </row>
    <row r="5">
      <c r="A5" s="8" t="inlineStr">
        <is>
          <t>Accounts and Notes Receivable (المدينون وأوراق القبض)</t>
        </is>
      </c>
      <c r="B5" s="10">
        <f>'Financial statement'!F21</f>
        <v/>
      </c>
      <c r="C5" s="10">
        <f>'Financial statement'!G21</f>
        <v/>
      </c>
      <c r="D5" s="10">
        <f>C5-B5</f>
        <v/>
      </c>
      <c r="E5" s="10">
        <f>IF(D5&lt;0, -D5, 0)</f>
        <v/>
      </c>
      <c r="F5" s="10">
        <f>IF(D5&gt;0, D5, 0)</f>
        <v/>
      </c>
      <c r="G5" s="6">
        <f>IF(E5&gt;0, "Source (مصدر)", "Use (استخدام)")</f>
        <v/>
      </c>
    </row>
    <row r="6">
      <c r="A6" s="8" t="inlineStr">
        <is>
          <t>Real Estate Work in Progress (مشروعات قيد التنفيذ)</t>
        </is>
      </c>
      <c r="B6" s="10">
        <f>'Financial statement'!F22</f>
        <v/>
      </c>
      <c r="C6" s="10">
        <f>'Financial statement'!G22</f>
        <v/>
      </c>
      <c r="D6" s="10">
        <f>C6-B6</f>
        <v/>
      </c>
      <c r="E6" s="10">
        <f>IF(D6&lt;0, -D6, 0)</f>
        <v/>
      </c>
      <c r="F6" s="10">
        <f>IF(D6&gt;0, D6, 0)</f>
        <v/>
      </c>
      <c r="G6" s="6">
        <f>IF(E6&gt;0, "Source (مصدر)", "Use (استخدام)")</f>
        <v/>
      </c>
    </row>
    <row r="7">
      <c r="A7" s="8" t="inlineStr">
        <is>
          <t>Financial Investments (استثمارات مالية وأذون)</t>
        </is>
      </c>
      <c r="B7" s="10">
        <f>'Financial statement'!F23</f>
        <v/>
      </c>
      <c r="C7" s="10">
        <f>'Financial statement'!G23</f>
        <v/>
      </c>
      <c r="D7" s="10">
        <f>C7-B7</f>
        <v/>
      </c>
      <c r="E7" s="10">
        <f>IF(D7&lt;0, -D7, 0)</f>
        <v/>
      </c>
      <c r="F7" s="10">
        <f>IF(D7&gt;0, D7, 0)</f>
        <v/>
      </c>
      <c r="G7" s="6">
        <f>IF(E7&gt;0, "Source (مصدر)", "Use (استخدام)")</f>
        <v/>
      </c>
    </row>
    <row r="8">
      <c r="A8" s="8" t="inlineStr">
        <is>
          <t>Fixed Assets &amp; CWIP (أصول ثابتة ومشروعات فنادق)</t>
        </is>
      </c>
      <c r="B8" s="10">
        <f>'Financial statement'!F24</f>
        <v/>
      </c>
      <c r="C8" s="10">
        <f>'Financial statement'!G24</f>
        <v/>
      </c>
      <c r="D8" s="10">
        <f>C8-B8</f>
        <v/>
      </c>
      <c r="E8" s="10">
        <f>IF(D8&lt;0, -D8, 0)</f>
        <v/>
      </c>
      <c r="F8" s="10">
        <f>IF(D8&gt;0, D8, 0)</f>
        <v/>
      </c>
      <c r="G8" s="6">
        <f>IF(E8&gt;0, "Source (مصدر)", "Use (استخدام)")</f>
        <v/>
      </c>
    </row>
    <row r="9">
      <c r="A9" s="8" t="inlineStr">
        <is>
          <t>Other Assets (أصول أخرى)</t>
        </is>
      </c>
      <c r="B9" s="10">
        <f>'Financial statement'!F25</f>
        <v/>
      </c>
      <c r="C9" s="10">
        <f>'Financial statement'!G25</f>
        <v/>
      </c>
      <c r="D9" s="10">
        <f>C9-B9</f>
        <v/>
      </c>
      <c r="E9" s="10">
        <f>IF(D9&lt;0, -D9, 0)</f>
        <v/>
      </c>
      <c r="F9" s="10">
        <f>IF(D9&gt;0, D9, 0)</f>
        <v/>
      </c>
      <c r="G9" s="6">
        <f>IF(E9&gt;0, "Source (مصدر)", "Use (استخدام)")</f>
        <v/>
      </c>
    </row>
    <row r="10">
      <c r="A10" s="8" t="inlineStr">
        <is>
          <t>Bank Overdrafts &amp; Short-term Credit Lines (تسهيلات بنكية)</t>
        </is>
      </c>
      <c r="B10" s="10">
        <f>'Financial statement'!F29</f>
        <v/>
      </c>
      <c r="C10" s="10">
        <f>'Financial statement'!G29</f>
        <v/>
      </c>
      <c r="D10" s="10">
        <f>C10-B10</f>
        <v/>
      </c>
      <c r="E10" s="10">
        <f>IF(D10&gt;0, D10, 0)</f>
        <v/>
      </c>
      <c r="F10" s="10">
        <f>IF(D10&lt;0, -D10, 0)</f>
        <v/>
      </c>
      <c r="G10" s="6">
        <f>IF(E10&gt;0, "Source (مصدر)", "Use (استخدام)")</f>
        <v/>
      </c>
    </row>
    <row r="11">
      <c r="A11" s="8" t="inlineStr">
        <is>
          <t>Trade and Notes Payable (أوراق دفع ومقاولين)</t>
        </is>
      </c>
      <c r="B11" s="10">
        <f>'Financial statement'!F30</f>
        <v/>
      </c>
      <c r="C11" s="10">
        <f>'Financial statement'!G30</f>
        <v/>
      </c>
      <c r="D11" s="10">
        <f>C11-B11</f>
        <v/>
      </c>
      <c r="E11" s="10">
        <f>IF(D11&gt;0, D11, 0)</f>
        <v/>
      </c>
      <c r="F11" s="10">
        <f>IF(D11&lt;0, -D11, 0)</f>
        <v/>
      </c>
      <c r="G11" s="6">
        <f>IF(E11&gt;0, "Source (مصدر)", "Use (استخدام)")</f>
        <v/>
      </c>
    </row>
    <row r="12">
      <c r="A12" s="8" t="inlineStr">
        <is>
          <t>Customer Advances (دفعات مقدمة من العملاء)</t>
        </is>
      </c>
      <c r="B12" s="10">
        <f>'Financial statement'!F31</f>
        <v/>
      </c>
      <c r="C12" s="10">
        <f>'Financial statement'!G31</f>
        <v/>
      </c>
      <c r="D12" s="10">
        <f>C12-B12</f>
        <v/>
      </c>
      <c r="E12" s="10">
        <f>IF(D12&gt;0, D12, 0)</f>
        <v/>
      </c>
      <c r="F12" s="10">
        <f>IF(D12&lt;0, -D12, 0)</f>
        <v/>
      </c>
      <c r="G12" s="6">
        <f>IF(E12&gt;0, "Source (مصدر)", "Use (استخدام)")</f>
        <v/>
      </c>
    </row>
    <row r="13">
      <c r="A13" s="8" t="inlineStr">
        <is>
          <t>Long-term Bank Debt (قروض بنكية طويلة الأجل)</t>
        </is>
      </c>
      <c r="B13" s="10">
        <f>'Financial statement'!F32</f>
        <v/>
      </c>
      <c r="C13" s="10">
        <f>'Financial statement'!G32</f>
        <v/>
      </c>
      <c r="D13" s="10">
        <f>C13-B13</f>
        <v/>
      </c>
      <c r="E13" s="10">
        <f>IF(D13&gt;0, D13, 0)</f>
        <v/>
      </c>
      <c r="F13" s="10">
        <f>IF(D13&lt;0, -D13, 0)</f>
        <v/>
      </c>
      <c r="G13" s="6">
        <f>IF(E13&gt;0, "Source (مصدر)", "Use (استخدام)")</f>
        <v/>
      </c>
    </row>
    <row r="14">
      <c r="A14" s="8" t="inlineStr">
        <is>
          <t>Financial Lease Obligations (التزامات التأجير التمويلي)</t>
        </is>
      </c>
      <c r="B14" s="10">
        <f>'Financial statement'!F33</f>
        <v/>
      </c>
      <c r="C14" s="10">
        <f>'Financial statement'!G33</f>
        <v/>
      </c>
      <c r="D14" s="10">
        <f>C14-B14</f>
        <v/>
      </c>
      <c r="E14" s="10">
        <f>IF(D14&gt;0, D14, 0)</f>
        <v/>
      </c>
      <c r="F14" s="10">
        <f>IF(D14&lt;0, -D14, 0)</f>
        <v/>
      </c>
      <c r="G14" s="6">
        <f>IF(E14&gt;0, "Source (مصدر)", "Use (استخدام)")</f>
        <v/>
      </c>
    </row>
    <row r="15">
      <c r="A15" s="8" t="inlineStr">
        <is>
          <t>Other Liabilities &amp; Provisions (التزامات ومخصصات أخرى)</t>
        </is>
      </c>
      <c r="B15" s="10">
        <f>'Financial statement'!F34</f>
        <v/>
      </c>
      <c r="C15" s="10">
        <f>'Financial statement'!G34</f>
        <v/>
      </c>
      <c r="D15" s="10">
        <f>C15-B15</f>
        <v/>
      </c>
      <c r="E15" s="10">
        <f>IF(D15&gt;0, D15, 0)</f>
        <v/>
      </c>
      <c r="F15" s="10">
        <f>IF(D15&lt;0, -D15, 0)</f>
        <v/>
      </c>
      <c r="G15" s="6">
        <f>IF(E15&gt;0, "Source (مصدر)", "Use (استخدام)")</f>
        <v/>
      </c>
    </row>
    <row r="16">
      <c r="A16" s="8" t="inlineStr">
        <is>
          <t>Share Capital (رأس المال المصدر)</t>
        </is>
      </c>
      <c r="B16" s="10">
        <f>'Financial statement'!F37</f>
        <v/>
      </c>
      <c r="C16" s="10">
        <f>'Financial statement'!G37</f>
        <v/>
      </c>
      <c r="D16" s="10">
        <f>C16-B16</f>
        <v/>
      </c>
      <c r="E16" s="10">
        <f>IF(D16&gt;0, D16, 0)</f>
        <v/>
      </c>
      <c r="F16" s="10">
        <f>IF(D16&lt;0, -D16, 0)</f>
        <v/>
      </c>
      <c r="G16" s="6">
        <f>IF(E16&gt;0, "Source (مصدر)", "Use (استخدام)")</f>
        <v/>
      </c>
    </row>
    <row r="17">
      <c r="A17" s="8" t="inlineStr">
        <is>
          <t>Reserves &amp; Translation Differences (احتياطيات وفروق ترجمة)</t>
        </is>
      </c>
      <c r="B17" s="10">
        <f>'Financial statement'!F38</f>
        <v/>
      </c>
      <c r="C17" s="10">
        <f>'Financial statement'!G38</f>
        <v/>
      </c>
      <c r="D17" s="10">
        <f>C17-B17</f>
        <v/>
      </c>
      <c r="E17" s="10">
        <f>IF(D17&gt;0, D17, 0)</f>
        <v/>
      </c>
      <c r="F17" s="10">
        <f>IF(D17&lt;0, -D17, 0)</f>
        <v/>
      </c>
      <c r="G17" s="6">
        <f>IF(E17&gt;0, "Source (مصدر)", "Use (استخدام)")</f>
        <v/>
      </c>
    </row>
    <row r="18">
      <c r="A18" s="8" t="inlineStr">
        <is>
          <t>Retained Earnings (أرباح مرحلة محتجزة)</t>
        </is>
      </c>
      <c r="B18" s="10">
        <f>'Financial statement'!F39</f>
        <v/>
      </c>
      <c r="C18" s="10">
        <f>'Financial statement'!G39</f>
        <v/>
      </c>
      <c r="D18" s="10">
        <f>C18-B18</f>
        <v/>
      </c>
      <c r="E18" s="10">
        <f>IF(D18&gt;0, D18, 0)</f>
        <v/>
      </c>
      <c r="F18" s="10">
        <f>IF(D18&lt;0, -D18, 0)</f>
        <v/>
      </c>
      <c r="G18" s="6">
        <f>IF(E18&gt;0, "Source (مصدر)", "Use (استخدام)")</f>
        <v/>
      </c>
    </row>
    <row r="19">
      <c r="A19" s="8" t="inlineStr">
        <is>
          <t>Non-Controlling Interests / ADQ ICON (حصص غير مسيطرة)</t>
        </is>
      </c>
      <c r="B19" s="10">
        <f>'Financial statement'!F40</f>
        <v/>
      </c>
      <c r="C19" s="10">
        <f>'Financial statement'!G40</f>
        <v/>
      </c>
      <c r="D19" s="10">
        <f>C19-B19</f>
        <v/>
      </c>
      <c r="E19" s="10">
        <f>IF(D19&gt;0, D19, 0)</f>
        <v/>
      </c>
      <c r="F19" s="10">
        <f>IF(D19&lt;0, -D19, 0)</f>
        <v/>
      </c>
      <c r="G19" s="6">
        <f>IF(E19&gt;0, "Source (مصدر)", "Use (استخدام)")</f>
        <v/>
      </c>
    </row>
    <row r="20">
      <c r="A20" s="24" t="inlineStr">
        <is>
          <t>Total Sources &amp; Uses (إجمالي مصادر واستخدامات الأموال)</t>
        </is>
      </c>
      <c r="B20" s="25" t="inlineStr"/>
      <c r="C20" s="25" t="inlineStr"/>
      <c r="D20" s="25" t="inlineStr"/>
      <c r="E20" s="26">
        <f>SUM(E4:E19)</f>
        <v/>
      </c>
      <c r="F20" s="26">
        <f>SUM(F4:F19)</f>
        <v/>
      </c>
      <c r="G20" s="27">
        <f>IF(E20=F20, "Balanced ✓ (توازن تام)", "Variance")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Talaat Moustafa Group Holding — Vertical Common Size Analysis (FY2023 – FY2025)</t>
        </is>
      </c>
    </row>
    <row r="2">
      <c r="A2" s="2" t="inlineStr">
        <is>
          <t>Income Statement as % of Total Sales &amp; Balance Sheet as % of Total Assets</t>
        </is>
      </c>
    </row>
    <row r="3">
      <c r="A3" s="3" t="inlineStr">
        <is>
          <t>Statement Line Item / البند المحاسبي</t>
        </is>
      </c>
      <c r="B3" s="4" t="inlineStr">
        <is>
          <t>FY2023 (EGP '000)</t>
        </is>
      </c>
      <c r="C3" s="4" t="inlineStr">
        <is>
          <t>% of Base (2023)</t>
        </is>
      </c>
      <c r="D3" s="4" t="inlineStr">
        <is>
          <t>FY2024 (EGP '000)</t>
        </is>
      </c>
      <c r="E3" s="4" t="inlineStr">
        <is>
          <t>% of Base (2024)</t>
        </is>
      </c>
      <c r="F3" s="4" t="inlineStr">
        <is>
          <t>FY2025 (EGP '000)</t>
        </is>
      </c>
      <c r="G3" s="4" t="inlineStr">
        <is>
          <t>% of Base (2025)</t>
        </is>
      </c>
    </row>
    <row r="4">
      <c r="A4" s="5" t="inlineStr">
        <is>
          <t>Sales Revenue (إجمالي الإيرادات)</t>
        </is>
      </c>
      <c r="B4" s="28">
        <f>'Financial statement'!E4</f>
        <v/>
      </c>
      <c r="C4" s="29">
        <f>B4/$B$4</f>
        <v/>
      </c>
      <c r="D4" s="28">
        <f>'Financial statement'!F4</f>
        <v/>
      </c>
      <c r="E4" s="29">
        <f>D4/$D$4</f>
        <v/>
      </c>
      <c r="F4" s="28">
        <f>'Financial statement'!G4</f>
        <v/>
      </c>
      <c r="G4" s="29">
        <f>F4/$F$4</f>
        <v/>
      </c>
    </row>
    <row r="5">
      <c r="A5" s="8" t="inlineStr">
        <is>
          <t>Cost of Goods Sold (تكلفة الإيرادات)</t>
        </is>
      </c>
      <c r="B5" s="10">
        <f>'Financial statement'!E5</f>
        <v/>
      </c>
      <c r="C5" s="30">
        <f>B5/$B$4</f>
        <v/>
      </c>
      <c r="D5" s="10">
        <f>'Financial statement'!F5</f>
        <v/>
      </c>
      <c r="E5" s="30">
        <f>D5/$D$4</f>
        <v/>
      </c>
      <c r="F5" s="10">
        <f>'Financial statement'!G5</f>
        <v/>
      </c>
      <c r="G5" s="30">
        <f>F5/$F$4</f>
        <v/>
      </c>
    </row>
    <row r="6">
      <c r="A6" s="5" t="inlineStr">
        <is>
          <t>Gross Profit (مجمل الربح)</t>
        </is>
      </c>
      <c r="B6" s="28">
        <f>'Financial statement'!E6</f>
        <v/>
      </c>
      <c r="C6" s="29">
        <f>B6/$B$4</f>
        <v/>
      </c>
      <c r="D6" s="28">
        <f>'Financial statement'!F6</f>
        <v/>
      </c>
      <c r="E6" s="29">
        <f>D6/$D$4</f>
        <v/>
      </c>
      <c r="F6" s="28">
        <f>'Financial statement'!G6</f>
        <v/>
      </c>
      <c r="G6" s="29">
        <f>F6/$F$4</f>
        <v/>
      </c>
    </row>
    <row r="7">
      <c r="A7" s="8" t="inlineStr">
        <is>
          <t>Selling, General &amp; Admin (مصروفات إدارية وعمومية)</t>
        </is>
      </c>
      <c r="B7" s="10">
        <f>'Financial statement'!E7</f>
        <v/>
      </c>
      <c r="C7" s="30">
        <f>B7/$B$4</f>
        <v/>
      </c>
      <c r="D7" s="10">
        <f>'Financial statement'!F7</f>
        <v/>
      </c>
      <c r="E7" s="30">
        <f>D7/$D$4</f>
        <v/>
      </c>
      <c r="F7" s="10">
        <f>'Financial statement'!G7</f>
        <v/>
      </c>
      <c r="G7" s="30">
        <f>F7/$F$4</f>
        <v/>
      </c>
    </row>
    <row r="8">
      <c r="A8" s="5" t="inlineStr">
        <is>
          <t>Operating Profit / EBIT (أرباح التشغيل)</t>
        </is>
      </c>
      <c r="B8" s="28">
        <f>'Financial statement'!E9</f>
        <v/>
      </c>
      <c r="C8" s="29">
        <f>B8/$B$4</f>
        <v/>
      </c>
      <c r="D8" s="28">
        <f>'Financial statement'!F9</f>
        <v/>
      </c>
      <c r="E8" s="29">
        <f>D8/$D$4</f>
        <v/>
      </c>
      <c r="F8" s="28">
        <f>'Financial statement'!G9</f>
        <v/>
      </c>
      <c r="G8" s="29">
        <f>F8/$F$4</f>
        <v/>
      </c>
    </row>
    <row r="9">
      <c r="A9" s="8" t="inlineStr">
        <is>
          <t>Finance Costs / Interest (الأعباء التمويلية)</t>
        </is>
      </c>
      <c r="B9" s="10">
        <f>'Financial statement'!E10</f>
        <v/>
      </c>
      <c r="C9" s="30">
        <f>B9/$B$4</f>
        <v/>
      </c>
      <c r="D9" s="10">
        <f>'Financial statement'!F10</f>
        <v/>
      </c>
      <c r="E9" s="30">
        <f>D9/$D$4</f>
        <v/>
      </c>
      <c r="F9" s="10">
        <f>'Financial statement'!G10</f>
        <v/>
      </c>
      <c r="G9" s="30">
        <f>F9/$F$4</f>
        <v/>
      </c>
    </row>
    <row r="10">
      <c r="A10" s="5" t="inlineStr">
        <is>
          <t>Net Profit After Taxes (صافي الربح المجمع)</t>
        </is>
      </c>
      <c r="B10" s="28">
        <f>'Financial statement'!E15</f>
        <v/>
      </c>
      <c r="C10" s="29">
        <f>B10/$B$4</f>
        <v/>
      </c>
      <c r="D10" s="28">
        <f>'Financial statement'!F15</f>
        <v/>
      </c>
      <c r="E10" s="29">
        <f>D10/$D$4</f>
        <v/>
      </c>
      <c r="F10" s="28">
        <f>'Financial statement'!G15</f>
        <v/>
      </c>
      <c r="G10" s="29">
        <f>F10/$F$4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20" t="inlineStr">
        <is>
          <t>Talaat Moustafa Group Holding — Construction CFO Strategic Ratio Scorecard (FY21 – FY25)</t>
        </is>
      </c>
    </row>
    <row r="2">
      <c r="A2" s="21" t="inlineStr">
        <is>
          <t>Audited Forensic Metrics: Liquidity, Working Capital Cycles, Off-Balance Leases &amp; Subcontractor Exposure</t>
        </is>
      </c>
    </row>
    <row r="3">
      <c r="A3" s="22" t="inlineStr">
        <is>
          <t>Metric / Ratio Classification</t>
        </is>
      </c>
      <c r="B3" s="23" t="inlineStr">
        <is>
          <t>Target Norm</t>
        </is>
      </c>
      <c r="C3" s="23" t="inlineStr">
        <is>
          <t>FY2021</t>
        </is>
      </c>
      <c r="D3" s="23" t="inlineStr">
        <is>
          <t>FY2022</t>
        </is>
      </c>
      <c r="E3" s="23" t="inlineStr">
        <is>
          <t>FY2023</t>
        </is>
      </c>
      <c r="F3" s="23" t="inlineStr">
        <is>
          <t>FY2024</t>
        </is>
      </c>
      <c r="G3" s="23" t="inlineStr">
        <is>
          <t>FY2025</t>
        </is>
      </c>
    </row>
    <row r="4">
      <c r="A4" s="5" t="inlineStr">
        <is>
          <t>Current Ratio (النسبة الجارية)</t>
        </is>
      </c>
      <c r="B4" s="9" t="inlineStr">
        <is>
          <t>1.2x - 1.5x</t>
        </is>
      </c>
      <c r="C4" s="31" t="inlineStr">
        <is>
          <t>1.54</t>
        </is>
      </c>
      <c r="D4" s="31" t="inlineStr">
        <is>
          <t>1.58</t>
        </is>
      </c>
      <c r="E4" s="31" t="inlineStr">
        <is>
          <t>1.49</t>
        </is>
      </c>
      <c r="F4" s="31" t="inlineStr">
        <is>
          <t>1.54</t>
        </is>
      </c>
      <c r="G4" s="31" t="inlineStr">
        <is>
          <t>1.63</t>
        </is>
      </c>
    </row>
    <row r="5">
      <c r="A5" s="5" t="inlineStr">
        <is>
          <t>Quick Ratio (Acid-Test بدون مخزون)</t>
        </is>
      </c>
      <c r="B5" s="9" t="inlineStr">
        <is>
          <t>&gt; 0.8x</t>
        </is>
      </c>
      <c r="C5" s="31" t="inlineStr">
        <is>
          <t>0.60</t>
        </is>
      </c>
      <c r="D5" s="31" t="inlineStr">
        <is>
          <t>0.54</t>
        </is>
      </c>
      <c r="E5" s="31" t="inlineStr">
        <is>
          <t>0.57</t>
        </is>
      </c>
      <c r="F5" s="31" t="inlineStr">
        <is>
          <t>0.67</t>
        </is>
      </c>
      <c r="G5" s="31" t="inlineStr">
        <is>
          <t>0.73</t>
        </is>
      </c>
    </row>
    <row r="6">
      <c r="A6" s="5" t="inlineStr">
        <is>
          <t>Cash Ratio (نسبة النقدية الفورية)</t>
        </is>
      </c>
      <c r="B6" s="9" t="inlineStr">
        <is>
          <t>&gt; 0.2x</t>
        </is>
      </c>
      <c r="C6" s="31" t="inlineStr">
        <is>
          <t>0.09</t>
        </is>
      </c>
      <c r="D6" s="31" t="inlineStr">
        <is>
          <t>0.08</t>
        </is>
      </c>
      <c r="E6" s="31" t="inlineStr">
        <is>
          <t>0.13</t>
        </is>
      </c>
      <c r="F6" s="31" t="inlineStr">
        <is>
          <t>0.27</t>
        </is>
      </c>
      <c r="G6" s="31" t="inlineStr">
        <is>
          <t>0.28</t>
        </is>
      </c>
    </row>
    <row r="7">
      <c r="A7" s="5" t="inlineStr">
        <is>
          <t>Days Payable Outstanding - DPO (فترة سداد الموردين)</t>
        </is>
      </c>
      <c r="B7" s="9" t="inlineStr">
        <is>
          <t>60-90 days</t>
        </is>
      </c>
      <c r="C7" s="32" t="inlineStr">
        <is>
          <t>—</t>
        </is>
      </c>
      <c r="D7" s="32" t="inlineStr">
        <is>
          <t>134 days</t>
        </is>
      </c>
      <c r="E7" s="32" t="inlineStr">
        <is>
          <t>141 days</t>
        </is>
      </c>
      <c r="F7" s="32" t="inlineStr">
        <is>
          <t>138 days</t>
        </is>
      </c>
      <c r="G7" s="32" t="inlineStr">
        <is>
          <t>160 days</t>
        </is>
      </c>
    </row>
    <row r="8">
      <c r="A8" s="5" t="inlineStr">
        <is>
          <t>Days Sales Inventory - DSI (فترة دوران المخزون)</t>
        </is>
      </c>
      <c r="B8" s="9" t="inlineStr">
        <is>
          <t>360-720d</t>
        </is>
      </c>
      <c r="C8" s="31" t="inlineStr">
        <is>
          <t>1,659d</t>
        </is>
      </c>
      <c r="D8" s="31" t="inlineStr">
        <is>
          <t>1,490d</t>
        </is>
      </c>
      <c r="E8" s="31" t="inlineStr">
        <is>
          <t>1,372d</t>
        </is>
      </c>
      <c r="F8" s="31" t="inlineStr">
        <is>
          <t>1,194d</t>
        </is>
      </c>
      <c r="G8" s="31" t="inlineStr">
        <is>
          <t>1,214d</t>
        </is>
      </c>
    </row>
    <row r="9">
      <c r="A9" s="5" t="inlineStr">
        <is>
          <t>Days Sales Outstanding - DSO (فترة تحصيل العملاء)</t>
        </is>
      </c>
      <c r="B9" s="9" t="inlineStr">
        <is>
          <t>90-180d</t>
        </is>
      </c>
      <c r="C9" s="31" t="inlineStr">
        <is>
          <t>582d</t>
        </is>
      </c>
      <c r="D9" s="31" t="inlineStr">
        <is>
          <t>525d</t>
        </is>
      </c>
      <c r="E9" s="31" t="inlineStr">
        <is>
          <t>467d</t>
        </is>
      </c>
      <c r="F9" s="31" t="inlineStr">
        <is>
          <t>375d</t>
        </is>
      </c>
      <c r="G9" s="31" t="inlineStr">
        <is>
          <t>367d</t>
        </is>
      </c>
    </row>
    <row r="10">
      <c r="A10" s="5" t="inlineStr">
        <is>
          <t>Cash Conversion Cycle - CCC (دورة التحويل النقدي)</t>
        </is>
      </c>
      <c r="B10" s="9" t="inlineStr">
        <is>
          <t>—</t>
        </is>
      </c>
      <c r="C10" s="31" t="inlineStr">
        <is>
          <t>—</t>
        </is>
      </c>
      <c r="D10" s="31" t="inlineStr">
        <is>
          <t>1,881d</t>
        </is>
      </c>
      <c r="E10" s="31" t="inlineStr">
        <is>
          <t>1,698d</t>
        </is>
      </c>
      <c r="F10" s="31" t="inlineStr">
        <is>
          <t>1,431d</t>
        </is>
      </c>
      <c r="G10" s="31" t="inlineStr">
        <is>
          <t>1,421d</t>
        </is>
      </c>
    </row>
    <row r="11">
      <c r="A11" s="5" t="inlineStr">
        <is>
          <t>Debt to Equity Ratio (الدين إلى الملكية)</t>
        </is>
      </c>
      <c r="B11" s="9" t="inlineStr">
        <is>
          <t>&lt; 1.5x</t>
        </is>
      </c>
      <c r="C11" s="31" t="inlineStr">
        <is>
          <t>1.12</t>
        </is>
      </c>
      <c r="D11" s="31" t="inlineStr">
        <is>
          <t>1.33</t>
        </is>
      </c>
      <c r="E11" s="31" t="inlineStr">
        <is>
          <t>1.62</t>
        </is>
      </c>
      <c r="F11" s="31" t="inlineStr">
        <is>
          <t>1.43</t>
        </is>
      </c>
      <c r="G11" s="31" t="inlineStr">
        <is>
          <t>1.33</t>
        </is>
      </c>
    </row>
    <row r="12">
      <c r="A12" s="5" t="inlineStr">
        <is>
          <t>Interest Coverage Ratio - ICR (تغطية الفوائد)</t>
        </is>
      </c>
      <c r="B12" s="9" t="inlineStr">
        <is>
          <t>&gt; 3.0x</t>
        </is>
      </c>
      <c r="C12" s="32" t="inlineStr">
        <is>
          <t>4.02x</t>
        </is>
      </c>
      <c r="D12" s="32" t="inlineStr">
        <is>
          <t>3.73x</t>
        </is>
      </c>
      <c r="E12" s="32" t="inlineStr">
        <is>
          <t>3.74x</t>
        </is>
      </c>
      <c r="F12" s="32" t="inlineStr">
        <is>
          <t>3.20x</t>
        </is>
      </c>
      <c r="G12" s="32" t="inlineStr">
        <is>
          <t>3.09x</t>
        </is>
      </c>
    </row>
    <row r="13">
      <c r="A13" s="5" t="inlineStr">
        <is>
          <t>Off-Balance Financial Leases (التأجير التمويلي)</t>
        </is>
      </c>
      <c r="B13" s="9" t="inlineStr">
        <is>
          <t>Minimal</t>
        </is>
      </c>
      <c r="C13" s="32" t="inlineStr">
        <is>
          <t>1.20 B</t>
        </is>
      </c>
      <c r="D13" s="32" t="inlineStr">
        <is>
          <t>2.10 B</t>
        </is>
      </c>
      <c r="E13" s="32" t="inlineStr">
        <is>
          <t>4.80 B</t>
        </is>
      </c>
      <c r="F13" s="32" t="inlineStr">
        <is>
          <t>22.10 B</t>
        </is>
      </c>
      <c r="G13" s="32" t="inlineStr">
        <is>
          <t>34.40 B</t>
        </is>
      </c>
    </row>
    <row r="14">
      <c r="A14" s="5" t="inlineStr">
        <is>
          <t>Gross Profit Margin (هامش مجمل الربح)</t>
        </is>
      </c>
      <c r="B14" s="9" t="inlineStr">
        <is>
          <t>&gt; 30%</t>
        </is>
      </c>
      <c r="C14" s="33" t="inlineStr">
        <is>
          <t>33.0%</t>
        </is>
      </c>
      <c r="D14" s="33" t="inlineStr">
        <is>
          <t>33.2%</t>
        </is>
      </c>
      <c r="E14" s="33" t="inlineStr">
        <is>
          <t>33.3%</t>
        </is>
      </c>
      <c r="F14" s="33" t="inlineStr">
        <is>
          <t>33.2%</t>
        </is>
      </c>
      <c r="G14" s="33" t="inlineStr">
        <is>
          <t>33.4%</t>
        </is>
      </c>
    </row>
    <row r="15">
      <c r="A15" s="5" t="inlineStr">
        <is>
          <t>Net Profit Margin (هامش صافي الربح)</t>
        </is>
      </c>
      <c r="B15" s="9" t="inlineStr">
        <is>
          <t>&gt; 15%</t>
        </is>
      </c>
      <c r="C15" s="33" t="inlineStr">
        <is>
          <t>11.6%</t>
        </is>
      </c>
      <c r="D15" s="33" t="inlineStr">
        <is>
          <t>11.2%</t>
        </is>
      </c>
      <c r="E15" s="33" t="inlineStr">
        <is>
          <t>11.6%</t>
        </is>
      </c>
      <c r="F15" s="33" t="inlineStr">
        <is>
          <t>19.4%</t>
        </is>
      </c>
      <c r="G15" s="33" t="inlineStr">
        <is>
          <t>29.1%</t>
        </is>
      </c>
    </row>
    <row r="16">
      <c r="A16" s="5" t="inlineStr">
        <is>
          <t>Return on Equity - ROE (العائد على الملكية)</t>
        </is>
      </c>
      <c r="B16" s="9" t="inlineStr">
        <is>
          <t>&gt; 10%</t>
        </is>
      </c>
      <c r="C16" s="33" t="inlineStr">
        <is>
          <t>3.37%</t>
        </is>
      </c>
      <c r="D16" s="33" t="inlineStr">
        <is>
          <t>3.99%</t>
        </is>
      </c>
      <c r="E16" s="33" t="inlineStr">
        <is>
          <t>4.85%</t>
        </is>
      </c>
      <c r="F16" s="33" t="inlineStr">
        <is>
          <t>7.95%</t>
        </is>
      </c>
      <c r="G16" s="33" t="inlineStr">
        <is>
          <t>11.39%</t>
        </is>
      </c>
    </row>
    <row r="17">
      <c r="A17" s="5" t="inlineStr">
        <is>
          <t>Return on Assets - ROA (العائد على الأصول)</t>
        </is>
      </c>
      <c r="B17" s="9" t="inlineStr">
        <is>
          <t>&gt; 3%</t>
        </is>
      </c>
      <c r="C17" s="33" t="inlineStr">
        <is>
          <t>1.59%</t>
        </is>
      </c>
      <c r="D17" s="33" t="inlineStr">
        <is>
          <t>1.71%</t>
        </is>
      </c>
      <c r="E17" s="33" t="inlineStr">
        <is>
          <t>1.85%</t>
        </is>
      </c>
      <c r="F17" s="33" t="inlineStr">
        <is>
          <t>3.27%</t>
        </is>
      </c>
      <c r="G17" s="33" t="inlineStr">
        <is>
          <t>4.89%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2" customWidth="1" min="3" max="3"/>
    <col width="48" customWidth="1" min="4" max="4"/>
    <col width="46" customWidth="1" min="5" max="5"/>
    <col width="24" customWidth="1" min="6" max="6"/>
  </cols>
  <sheetData>
    <row r="1">
      <c r="A1" s="1" t="inlineStr">
        <is>
          <t>Talaat Moustafa Group Holding — Deep Strategic SWOT Matrix (Audited Corporate Evidence)</t>
        </is>
      </c>
    </row>
    <row r="3">
      <c r="A3" s="4" t="inlineStr">
        <is>
          <t>ID</t>
        </is>
      </c>
      <c r="B3" s="4" t="inlineStr">
        <is>
          <t>SWOT Dimension</t>
        </is>
      </c>
      <c r="C3" s="3" t="inlineStr">
        <is>
          <t>Strategic Factor</t>
        </is>
      </c>
      <c r="D3" s="3" t="inlineStr">
        <is>
          <t>Detailed Forensic Description</t>
        </is>
      </c>
      <c r="E3" s="3" t="inlineStr">
        <is>
          <t>Audited Metric / Evidence</t>
        </is>
      </c>
      <c r="F3" s="4" t="inlineStr">
        <is>
          <t>Strategic Moat / Impact</t>
        </is>
      </c>
    </row>
    <row r="4">
      <c r="A4" s="6" t="inlineStr">
        <is>
          <t>S1</t>
        </is>
      </c>
      <c r="B4" s="34" t="inlineStr">
        <is>
          <t>Strength (قوة)</t>
        </is>
      </c>
      <c r="C4" s="5" t="inlineStr">
        <is>
          <t>Dominant Landbank (مخزون أراضٍ سيادي)</t>
        </is>
      </c>
      <c r="D4" s="8" t="inlineStr">
        <is>
          <t>Holds Egypt's largest private landbank across East Cairo, North Coast, and Gulf.</t>
        </is>
      </c>
      <c r="E4" s="8" t="inlineStr">
        <is>
          <t>26,722+ Feddans (&gt;112M sqm BUA); Madinaty (8,000 feddans), Noor, SouthMED</t>
        </is>
      </c>
      <c r="F4" s="6" t="inlineStr">
        <is>
          <t>High Moat (حاجز تنافسي مطلق)</t>
        </is>
      </c>
    </row>
    <row r="5">
      <c r="A5" s="6" t="inlineStr">
        <is>
          <t>S2</t>
        </is>
      </c>
      <c r="B5" s="34" t="inlineStr">
        <is>
          <t>Strength (قوة)</t>
        </is>
      </c>
      <c r="C5" s="5" t="inlineStr">
        <is>
          <t>Massive Sales Backlog (مبيعات غير مسلمة)</t>
        </is>
      </c>
      <c r="D5" s="8" t="inlineStr">
        <is>
          <t>Unprecedented revenue visibility from contracted off-plan unit sales awaiting delivery.</t>
        </is>
      </c>
      <c r="E5" s="8" t="inlineStr">
        <is>
          <t>EGP 441.2 Billion Backlog (as of Dec 2025); exceeds EGP 460B in H1 2026</t>
        </is>
      </c>
      <c r="F5" s="6" t="inlineStr">
        <is>
          <t>High Visibility (استقرار تدفقات)</t>
        </is>
      </c>
    </row>
    <row r="6">
      <c r="A6" s="6" t="inlineStr">
        <is>
          <t>S3</t>
        </is>
      </c>
      <c r="B6" s="34" t="inlineStr">
        <is>
          <t>Strength (قوة)</t>
        </is>
      </c>
      <c r="C6" s="5" t="inlineStr">
        <is>
          <t>Headline Earnings Growth (نمو الأرباح)</t>
        </is>
      </c>
      <c r="D6" s="8" t="inlineStr">
        <is>
          <t>Record revenue and net profit expansion driven by unit delivery cycles &amp; hotel turnover.</t>
        </is>
      </c>
      <c r="E6" s="8" t="inlineStr">
        <is>
          <t>FY25 Revenue EGP 62.5B (+46%), Net Profit EGP 18.2B (+43% YoY)</t>
        </is>
      </c>
      <c r="F6" s="6" t="inlineStr">
        <is>
          <t>High Profitability (كفاءة ربحية)</t>
        </is>
      </c>
    </row>
    <row r="7">
      <c r="A7" s="6" t="inlineStr">
        <is>
          <t>S4</t>
        </is>
      </c>
      <c r="B7" s="34" t="inlineStr">
        <is>
          <t>Strength (قوة)</t>
        </is>
      </c>
      <c r="C7" s="5" t="inlineStr">
        <is>
          <t>Hospitality FX Cash Flows (كاش دولاري)</t>
        </is>
      </c>
      <c r="D7" s="8" t="inlineStr">
        <is>
          <t>Icon hotel portfolio produces robust USD/EUR earnings hedging group against EGP devaluation.</t>
        </is>
      </c>
      <c r="E7" s="8" t="inlineStr">
        <is>
          <t>Hospitality Revenue EGP 14.9B in FY25; 51% acquisition of 7 state historic hotels</t>
        </is>
      </c>
      <c r="F7" s="6" t="inlineStr">
        <is>
          <t>FX Hedge Moat (درع تحوط العملة)</t>
        </is>
      </c>
    </row>
    <row r="8">
      <c r="A8" s="6" t="inlineStr">
        <is>
          <t>S5</t>
        </is>
      </c>
      <c r="B8" s="34" t="inlineStr">
        <is>
          <t>Strength (قوة)</t>
        </is>
      </c>
      <c r="C8" s="5" t="inlineStr">
        <is>
          <t>Asset-Light Pivot (تطوير خفيف الأصول)</t>
        </is>
      </c>
      <c r="D8" s="8" t="inlineStr">
        <is>
          <t>Shift toward master developer model (SouthMED) capturing fees without land liabilities.</t>
        </is>
      </c>
      <c r="E8" s="8" t="inlineStr">
        <is>
          <t>SouthMED (~8% master dev fee) &amp; The Spine NBE JV plot sale EGP 67.12B</t>
        </is>
      </c>
      <c r="F8" s="6" t="inlineStr">
        <is>
          <t>Capital Light (تخفيف الأصول)</t>
        </is>
      </c>
    </row>
    <row r="9">
      <c r="A9" s="6" t="inlineStr">
        <is>
          <t>S6</t>
        </is>
      </c>
      <c r="B9" s="34" t="inlineStr">
        <is>
          <t>Strength (قوة)</t>
        </is>
      </c>
      <c r="C9" s="5" t="inlineStr">
        <is>
          <t>Integrated City Utilities (إيرادات دورية)</t>
        </is>
      </c>
      <c r="D9" s="8" t="inlineStr">
        <is>
          <t>Captures recurring commercial leasing, utilities, sports clubs, and transportation.</t>
        </is>
      </c>
      <c r="E9" s="8" t="inlineStr">
        <is>
          <t>Recurring Revenue EGP 10.9B (+64% YoY); Open Air Mall (260k sqm GLA)</t>
        </is>
      </c>
      <c r="F9" s="6" t="inlineStr">
        <is>
          <t>Resilient Cash (إيرادات مستدامة)</t>
        </is>
      </c>
    </row>
    <row r="10">
      <c r="A10" s="6" t="inlineStr">
        <is>
          <t>W1</t>
        </is>
      </c>
      <c r="B10" s="35" t="inlineStr">
        <is>
          <t>Weakness (ضعف)</t>
        </is>
      </c>
      <c r="C10" s="5" t="inlineStr">
        <is>
          <t>Cash Conversion Lag (فجوة تحويل الكاش)</t>
        </is>
      </c>
      <c r="D10" s="8" t="inlineStr">
        <is>
          <t>Operating cash flow trails accounting profits due to cash absorption in construction WIP.</t>
        </is>
      </c>
      <c r="E10" s="8" t="inlineStr">
        <is>
          <t>H1 2026 OCF EGP 3.11B vs Net Profit EGP 9.95B (~31% conversion); EGP 18.26B WIP burn</t>
        </is>
      </c>
      <c r="F10" s="6" t="inlineStr">
        <is>
          <t>Liquidity Drag (استنزاف سيولة)</t>
        </is>
      </c>
    </row>
    <row r="11">
      <c r="A11" s="6" t="inlineStr">
        <is>
          <t>W2</t>
        </is>
      </c>
      <c r="B11" s="35" t="inlineStr">
        <is>
          <t>Weakness (ضعف)</t>
        </is>
      </c>
      <c r="C11" s="5" t="inlineStr">
        <is>
          <t>Off-Balance Lease Debt (تأجير تمويلي)</t>
        </is>
      </c>
      <c r="D11" s="8" t="inlineStr">
        <is>
          <t>Sale-and-leaseback transactions create fixed monthly bank debt servicing obligations.</t>
        </is>
      </c>
      <c r="E11" s="8" t="inlineStr">
        <is>
          <t>EGP 43.99 Billion Lease Obligations (June 2026), up from EGP 34.4B in Dec 2025</t>
        </is>
      </c>
      <c r="F11" s="6" t="inlineStr">
        <is>
          <t>High Leverage (رافعة ديون خفية)</t>
        </is>
      </c>
    </row>
    <row r="12">
      <c r="A12" s="6" t="inlineStr">
        <is>
          <t>W3</t>
        </is>
      </c>
      <c r="B12" s="35" t="inlineStr">
        <is>
          <t>Weakness (ضعف)</t>
        </is>
      </c>
      <c r="C12" s="5" t="inlineStr">
        <is>
          <t>High Interest Burn (أعباء الفوائد)</t>
        </is>
      </c>
      <c r="D12" s="8" t="inlineStr">
        <is>
          <t>Elevated domestic interest rates on borrowings erode gross operating profits.</t>
        </is>
      </c>
      <c r="E12" s="8" t="inlineStr">
        <is>
          <t>Finance Expense EGP 4.56B in FY25 (7.3% of revenue); Central Bank corridor &gt; 27%</t>
        </is>
      </c>
      <c r="F12" s="6" t="inlineStr">
        <is>
          <t>Margin Erosion (تآكل هوامش الربح)</t>
        </is>
      </c>
    </row>
    <row r="13">
      <c r="A13" s="6" t="inlineStr">
        <is>
          <t>W4</t>
        </is>
      </c>
      <c r="B13" s="35" t="inlineStr">
        <is>
          <t>Weakness (ضعف)</t>
        </is>
      </c>
      <c r="C13" s="5" t="inlineStr">
        <is>
          <t>Subcontractor Payment Stretch (تمديد DPO)</t>
        </is>
      </c>
      <c r="D13" s="8" t="inlineStr">
        <is>
          <t>Aggressive working capital policy forces contractors to finance works via deferred paper.</t>
        </is>
      </c>
      <c r="E13" s="8" t="inlineStr">
        <is>
          <t>DPO extended to 160 days in FY25; Notes payable climbed to EGP 15.79B</t>
        </is>
      </c>
      <c r="F13" s="6" t="inlineStr">
        <is>
          <t>Supply Chain Strain (خطر المقاولين)</t>
        </is>
      </c>
    </row>
    <row r="14">
      <c r="A14" s="6" t="inlineStr">
        <is>
          <t>W5</t>
        </is>
      </c>
      <c r="B14" s="35" t="inlineStr">
        <is>
          <t>Weakness (ضعف)</t>
        </is>
      </c>
      <c r="C14" s="5" t="inlineStr">
        <is>
          <t>Key-Person Concentration (المركزية المفرطة)</t>
        </is>
      </c>
      <c r="D14" s="8" t="inlineStr">
        <is>
          <t>Concentration of strategic decisions and financial approvals in executive leadership.</t>
        </is>
      </c>
      <c r="E14" s="8" t="inlineStr">
        <is>
          <t>Centralized approval hierarchy slowing payment certifications and dispute resolution</t>
        </is>
      </c>
      <c r="F14" s="6" t="inlineStr">
        <is>
          <t>Governance Bottleneck (اختناق إداري)</t>
        </is>
      </c>
    </row>
    <row r="15">
      <c r="A15" s="6" t="inlineStr">
        <is>
          <t>W6</t>
        </is>
      </c>
      <c r="B15" s="35" t="inlineStr">
        <is>
          <t>Weakness (ضعف)</t>
        </is>
      </c>
      <c r="C15" s="5" t="inlineStr">
        <is>
          <t>Maintenance Reserve Disputes (نزاع الودائع)</t>
        </is>
      </c>
      <c r="D15" s="8" t="inlineStr">
        <is>
          <t>Resident friction regarding the management and interest yield allocation of trust deposits.</t>
        </is>
      </c>
      <c r="E15" s="8" t="inlineStr">
        <is>
          <t>Over EGP 30B in accumulated maintenance deposits subject to homeowner litigation</t>
        </is>
      </c>
      <c r="F15" s="6" t="inlineStr">
        <is>
          <t>Reputational Risk (مخاطر سمعة)</t>
        </is>
      </c>
    </row>
    <row r="16">
      <c r="A16" s="6" t="inlineStr">
        <is>
          <t>O1</t>
        </is>
      </c>
      <c r="B16" s="36" t="inlineStr">
        <is>
          <t>Opportunity (فرصة)</t>
        </is>
      </c>
      <c r="C16" s="5" t="inlineStr">
        <is>
          <t>Property Export &amp; FDI (تصدير العقار)</t>
        </is>
      </c>
      <c r="D16" s="8" t="inlineStr">
        <is>
          <t>Strong demand from GCC buyers for beachfront and high-end residential assets.</t>
        </is>
      </c>
      <c r="E16" s="8" t="inlineStr">
        <is>
          <t>SouthMED target gross development value (GDV) of EGP 1.0+ Trillion ($21B+)</t>
        </is>
      </c>
      <c r="F16" s="6" t="inlineStr">
        <is>
          <t>Massive Inflow (تدفقات دولارية ضخمة)</t>
        </is>
      </c>
    </row>
    <row r="17">
      <c r="A17" s="6" t="inlineStr">
        <is>
          <t>O2</t>
        </is>
      </c>
      <c r="B17" s="36" t="inlineStr">
        <is>
          <t>Opportunity (فرصة)</t>
        </is>
      </c>
      <c r="C17" s="5" t="inlineStr">
        <is>
          <t>Regional GCC Expansion (التوسع الخليجي)</t>
        </is>
      </c>
      <c r="D17" s="8" t="inlineStr">
        <is>
          <t>Replicating community development model in Saudi Arabia and Sultanate of Oman.</t>
        </is>
      </c>
      <c r="E17" s="8" t="inlineStr">
        <is>
          <t>Banan City, Riyadh (10mn sqm BUA, SAR 40B GDV) &amp; Jood Project, Oman</t>
        </is>
      </c>
      <c r="F17" s="6" t="inlineStr">
        <is>
          <t>Geographic Diversity (تنويع جغرافي)</t>
        </is>
      </c>
    </row>
    <row r="18">
      <c r="A18" s="6" t="inlineStr">
        <is>
          <t>O3</t>
        </is>
      </c>
      <c r="B18" s="36" t="inlineStr">
        <is>
          <t>Opportunity (فرصة)</t>
        </is>
      </c>
      <c r="C18" s="5" t="inlineStr">
        <is>
          <t>Tourism Boom &amp; ADR Surge (طفرة السياحة)</t>
        </is>
      </c>
      <c r="D18" s="8" t="inlineStr">
        <is>
          <t>National target of 30M tourists driving high occupancy across Four Seasons and historic hotels.</t>
        </is>
      </c>
      <c r="E18" s="8" t="inlineStr">
        <is>
          <t>Legacy Hotels expansion driving foreign currency average daily room rates (ADR)</t>
        </is>
      </c>
      <c r="F18" s="6" t="inlineStr">
        <is>
          <t>High-Yield Hospitality (عوائد غرف فندقية)</t>
        </is>
      </c>
    </row>
    <row r="19">
      <c r="A19" s="6" t="inlineStr">
        <is>
          <t>O4</t>
        </is>
      </c>
      <c r="B19" s="36" t="inlineStr">
        <is>
          <t>Opportunity (فرصة)</t>
        </is>
      </c>
      <c r="C19" s="5" t="inlineStr">
        <is>
          <t>Sovereign Alliances / ADQ (شراكات سيادية)</t>
        </is>
      </c>
      <c r="D19" s="8" t="inlineStr">
        <is>
          <t>Strategic joint ventures with sovereign funds unlocking low-cost development equity.</t>
        </is>
      </c>
      <c r="E19" s="8" t="inlineStr">
        <is>
          <t>ADQ/ADNEC consortium injecting $800M into ICON hospitality vehicle</t>
        </is>
      </c>
      <c r="F19" s="6" t="inlineStr">
        <is>
          <t>Low-Cost Capital (تمويل سيادي رخيص)</t>
        </is>
      </c>
    </row>
    <row r="20">
      <c r="A20" s="6" t="inlineStr">
        <is>
          <t>O5</t>
        </is>
      </c>
      <c r="B20" s="36" t="inlineStr">
        <is>
          <t>Opportunity (فرصة)</t>
        </is>
      </c>
      <c r="C20" s="5" t="inlineStr">
        <is>
          <t>Securitization &amp; REITs (توريق الأصول)</t>
        </is>
      </c>
      <c r="D20" s="8" t="inlineStr">
        <is>
          <t>Monetizing commercial retail portfolios (Rawasy) to generate non-debt cash infusions.</t>
        </is>
      </c>
      <c r="E20" s="8" t="inlineStr">
        <is>
          <t>Rawasy Real Estate securitization issuances monetizing stable lease streams</t>
        </is>
      </c>
      <c r="F20" s="6" t="inlineStr">
        <is>
          <t>Accelerated Cash (تسييل محافظ تجارية)</t>
        </is>
      </c>
    </row>
    <row r="21">
      <c r="A21" s="6" t="inlineStr">
        <is>
          <t>O6</t>
        </is>
      </c>
      <c r="B21" s="36" t="inlineStr">
        <is>
          <t>Opportunity (فرصة)</t>
        </is>
      </c>
      <c r="C21" s="5" t="inlineStr">
        <is>
          <t>Smart City Water Infrastructure (مرافق ذكية)</t>
        </is>
      </c>
      <c r="D21" s="8" t="inlineStr">
        <is>
          <t>Water recycling, desalination, and lake automation reducing city operating expenses.</t>
        </is>
      </c>
      <c r="E21" s="8" t="inlineStr">
        <is>
          <t>Mandatory implementation across SouthMED, Banan, and Noor smart city parcels</t>
        </is>
      </c>
      <c r="F21" s="6" t="inlineStr">
        <is>
          <t>Operational Savings (ترشيد تكاليف)</t>
        </is>
      </c>
    </row>
    <row r="22">
      <c r="A22" s="6" t="inlineStr">
        <is>
          <t>T1</t>
        </is>
      </c>
      <c r="B22" s="37" t="inlineStr">
        <is>
          <t>Threat (تهديد)</t>
        </is>
      </c>
      <c r="C22" s="5" t="inlineStr">
        <is>
          <t>Construction Cost Inflation (تضخم التكاليف)</t>
        </is>
      </c>
      <c r="D22" s="8" t="inlineStr">
        <is>
          <t>Rapid inflation in building materials (rebar, cement, MEP pumps) eroding backlog margin.</t>
        </is>
      </c>
      <c r="E22" s="8" t="inlineStr">
        <is>
          <t>Historical EGP currency adjustments creating cost escalation across off-plan sales</t>
        </is>
      </c>
      <c r="F22" s="6" t="inlineStr">
        <is>
          <t>Cost Overrun Risk (تآكل هوامش المشروعات)</t>
        </is>
      </c>
    </row>
    <row r="23">
      <c r="A23" s="6" t="inlineStr">
        <is>
          <t>T2</t>
        </is>
      </c>
      <c r="B23" s="37" t="inlineStr">
        <is>
          <t>Threat (تهديد)</t>
        </is>
      </c>
      <c r="C23" s="5" t="inlineStr">
        <is>
          <t>Prolonged High Corridor Rates (أسعار الفائدة)</t>
        </is>
      </c>
      <c r="D23" s="8" t="inlineStr">
        <is>
          <t>Central Bank monetary tightening sustaining local borrowing costs above 28%.</t>
        </is>
      </c>
      <c r="E23" s="8" t="inlineStr">
        <is>
          <t>High annual cost of debt service penalizing domestic bank credit utilization</t>
        </is>
      </c>
      <c r="F23" s="6" t="inlineStr">
        <is>
          <t>Refinancing Pressure (أعباء خدمة الدين)</t>
        </is>
      </c>
    </row>
    <row r="24">
      <c r="A24" s="6" t="inlineStr">
        <is>
          <t>T3</t>
        </is>
      </c>
      <c r="B24" s="37" t="inlineStr">
        <is>
          <t>Threat (تهديد)</t>
        </is>
      </c>
      <c r="C24" s="5" t="inlineStr">
        <is>
          <t>Domestic Purchasing Strain (تراجع القوة الشرائية)</t>
        </is>
      </c>
      <c r="D24" s="8" t="inlineStr">
        <is>
          <t>Inflation eroding local real incomes and domestic demand for mid-tier housing units.</t>
        </is>
      </c>
      <c r="E24" s="8" t="inlineStr">
        <is>
          <t>Need to extend customer installment periods up to 10-12 years to maintain sales volume</t>
        </is>
      </c>
      <c r="F24" s="6" t="inlineStr">
        <is>
          <t>Velocity Deceleration (تباطؤ مبيعات محلي)</t>
        </is>
      </c>
    </row>
    <row r="25">
      <c r="A25" s="6" t="inlineStr">
        <is>
          <t>T4</t>
        </is>
      </c>
      <c r="B25" s="37" t="inlineStr">
        <is>
          <t>Threat (تهديد)</t>
        </is>
      </c>
      <c r="C25" s="5" t="inlineStr">
        <is>
          <t>Subcontractor Insolvency (تعثر مقاولي الباطن)</t>
        </is>
      </c>
      <c r="D25" s="8" t="inlineStr">
        <is>
          <t>SME contractors and MEP suppliers collapsing under cash delays and unhedged FX.</t>
        </is>
      </c>
      <c r="E25" s="8" t="inlineStr">
        <is>
          <t>Delays in execution milestones leading to delivery penalties and customer friction</t>
        </is>
      </c>
      <c r="F25" s="6" t="inlineStr">
        <is>
          <t>Execution Breakdown (تعطل الجداول الزمنية)</t>
        </is>
      </c>
    </row>
    <row r="26">
      <c r="A26" s="6" t="inlineStr">
        <is>
          <t>T5</t>
        </is>
      </c>
      <c r="B26" s="37" t="inlineStr">
        <is>
          <t>Threat (تهديد)</t>
        </is>
      </c>
      <c r="C26" s="5" t="inlineStr">
        <is>
          <t>Geopolitical Instability (توترات إقليمية)</t>
        </is>
      </c>
      <c r="D26" s="8" t="inlineStr">
        <is>
          <t>Regional conflicts suppressing international tourism and cross-border investor sentiment.</t>
        </is>
      </c>
      <c r="E26" s="8" t="inlineStr">
        <is>
          <t>Potential disruption to Red Sea/Sinai hospitality and foreign investor mobility</t>
        </is>
      </c>
      <c r="F26" s="6" t="inlineStr">
        <is>
          <t>Hospitality Headwind (صدمات سياحية مفاجئة)</t>
        </is>
      </c>
    </row>
    <row r="27">
      <c r="A27" s="6" t="inlineStr">
        <is>
          <t>T6</t>
        </is>
      </c>
      <c r="B27" s="37" t="inlineStr">
        <is>
          <t>Threat (تهديد)</t>
        </is>
      </c>
      <c r="C27" s="5" t="inlineStr">
        <is>
          <t>Regulatory Crackdown on Fees (حماية المستهلك)</t>
        </is>
      </c>
      <c r="D27" s="8" t="inlineStr">
        <is>
          <t>Enforcement of CPA Article 15 barring developer fees on unit resales (5%-10%).</t>
        </is>
      </c>
      <c r="E27" s="8" t="inlineStr">
        <is>
          <t>Legal risk of contract voiding and fines regarding transfer fee revenue streams</t>
        </is>
      </c>
      <c r="F27" s="6" t="inlineStr">
        <is>
          <t>Compliance Risk (مخاطر إلغاء رسوم التنازل)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46" customWidth="1" min="4" max="4"/>
    <col width="18" customWidth="1" min="5" max="5"/>
    <col width="44" customWidth="1" min="6" max="6"/>
  </cols>
  <sheetData>
    <row r="1">
      <c r="A1" s="20" t="inlineStr">
        <is>
          <t>Talaat Moustafa Group Holding — Strategic TOWS Action Matrix (Executive Roadmap)</t>
        </is>
      </c>
    </row>
    <row r="3">
      <c r="A3" s="23" t="inlineStr">
        <is>
          <t>Strategy ID</t>
        </is>
      </c>
      <c r="B3" s="23" t="inlineStr">
        <is>
          <t>TOWS Strategy Posture</t>
        </is>
      </c>
      <c r="C3" s="22" t="inlineStr">
        <is>
          <t>Corporate Strategy &amp; Action</t>
        </is>
      </c>
      <c r="D3" s="22" t="inlineStr">
        <is>
          <t>Detailed Operational Implementation Roadmap</t>
        </is>
      </c>
      <c r="E3" s="23" t="inlineStr">
        <is>
          <t>Priority</t>
        </is>
      </c>
      <c r="F3" s="22" t="inlineStr">
        <is>
          <t>Subcontractor / Partner Implication</t>
        </is>
      </c>
    </row>
    <row r="4">
      <c r="A4" s="6" t="inlineStr">
        <is>
          <t>SO-1</t>
        </is>
      </c>
      <c r="B4" s="34" t="inlineStr">
        <is>
          <t>SO (Maxi-Maxi)</t>
        </is>
      </c>
      <c r="C4" s="5" t="inlineStr">
        <is>
          <t>Leverage Landbank for Asset-Light Growth</t>
        </is>
      </c>
      <c r="D4" s="8" t="inlineStr">
        <is>
          <t>Combine massive 26k+ feddan landbank with master development fee model (SouthMED) to maximize cash generation while minimizing balance sheet risk.</t>
        </is>
      </c>
      <c r="E4" s="38" t="inlineStr">
        <is>
          <t>High Priority</t>
        </is>
      </c>
      <c r="F4" s="8" t="inlineStr">
        <is>
          <t>Unlocks multi-billion EGP infrastructure, lake, and pool subcontracting packages.</t>
        </is>
      </c>
    </row>
    <row r="5">
      <c r="A5" s="6" t="inlineStr">
        <is>
          <t>SO-2</t>
        </is>
      </c>
      <c r="B5" s="34" t="inlineStr">
        <is>
          <t>SO (Maxi-Maxi)</t>
        </is>
      </c>
      <c r="C5" s="5" t="inlineStr">
        <is>
          <t>Monetize Icon Hotel FX Cash Flows</t>
        </is>
      </c>
      <c r="D5" s="8" t="inlineStr">
        <is>
          <t>Deploy USD/EUR hospitality revenues from Four Seasons/Historic hotels to fund cross-border regional expansion in KSA (Banan) and Oman (Jood).</t>
        </is>
      </c>
      <c r="E5" s="38" t="inlineStr">
        <is>
          <t>High Priority</t>
        </is>
      </c>
      <c r="F5" s="8" t="inlineStr">
        <is>
          <t>TMG possesses abundant USD liquidity in offshore/hotel arms but keeps it segregated.</t>
        </is>
      </c>
    </row>
    <row r="6">
      <c r="A6" s="6" t="inlineStr">
        <is>
          <t>SO-3</t>
        </is>
      </c>
      <c r="B6" s="34" t="inlineStr">
        <is>
          <t>SO (Maxi-Maxi)</t>
        </is>
      </c>
      <c r="C6" s="5" t="inlineStr">
        <is>
          <t>Scale Commercial Leasing Portfolio</t>
        </is>
      </c>
      <c r="D6" s="8" t="inlineStr">
        <is>
          <t>Utilize EGP 441B backlog visibility to pre-lease commercial retail hubs (Open Air Mall, East Hub) and expand recurring revenue base.</t>
        </is>
      </c>
      <c r="E6" s="38" t="inlineStr">
        <is>
          <t>Medium Priority</t>
        </is>
      </c>
      <c r="F6" s="8" t="inlineStr">
        <is>
          <t>Steady recurring cash streams strengthen developer balance sheet long-term.</t>
        </is>
      </c>
    </row>
    <row r="7">
      <c r="A7" s="6" t="inlineStr">
        <is>
          <t>ST-1</t>
        </is>
      </c>
      <c r="B7" s="37" t="inlineStr">
        <is>
          <t>ST (Maxi-Mini)</t>
        </is>
      </c>
      <c r="C7" s="5" t="inlineStr">
        <is>
          <t>Centralized Bulk Material Hedging</t>
        </is>
      </c>
      <c r="D7" s="8" t="inlineStr">
        <is>
          <t>Use group financial scale and liquidity reserves (EGP 66.4B) to bulk-purchase rebar and cement directly, bypassing subcontractor inflation markups.</t>
        </is>
      </c>
      <c r="E7" s="38" t="inlineStr">
        <is>
          <t>High Priority</t>
        </is>
      </c>
      <c r="F7" s="8" t="inlineStr">
        <is>
          <t>TMG strips material supply margin from contractors, turning them into pure labor/MEP installers.</t>
        </is>
      </c>
    </row>
    <row r="8">
      <c r="A8" s="6" t="inlineStr">
        <is>
          <t>ST-2</t>
        </is>
      </c>
      <c r="B8" s="37" t="inlineStr">
        <is>
          <t>ST (Maxi-Mini)</t>
        </is>
      </c>
      <c r="C8" s="5" t="inlineStr">
        <is>
          <t>FX Debt &amp; Revenue Matching</t>
        </is>
      </c>
      <c r="D8" s="8" t="inlineStr">
        <is>
          <t>Align foreign currency debt service obligations with USD hospitality earnings, shielding group balance sheet from EGP devaluation shocks.</t>
        </is>
      </c>
      <c r="E8" s="38" t="inlineStr">
        <is>
          <t>High Priority</t>
        </is>
      </c>
      <c r="F8" s="8" t="inlineStr">
        <is>
          <t>Isolates hotel assets while real estate operations absorb local inflation.</t>
        </is>
      </c>
    </row>
    <row r="9">
      <c r="A9" s="6" t="inlineStr">
        <is>
          <t>ST-3</t>
        </is>
      </c>
      <c r="B9" s="37" t="inlineStr">
        <is>
          <t>ST (Maxi-Mini)</t>
        </is>
      </c>
      <c r="C9" s="5" t="inlineStr">
        <is>
          <t>Flexible Customer Financing</t>
        </is>
      </c>
      <c r="D9" s="8" t="inlineStr">
        <is>
          <t>Utilize strong balance sheet to extend unit payment plans to 10-12 years, sustaining sales velocity amidst domestic affordability strain.</t>
        </is>
      </c>
      <c r="E9" s="38" t="inlineStr">
        <is>
          <t>Medium Priority</t>
        </is>
      </c>
      <c r="F9" s="8" t="inlineStr">
        <is>
          <t>Stretches collection cycle; increases reliance on contractor working capital float.</t>
        </is>
      </c>
    </row>
    <row r="10">
      <c r="A10" s="6" t="inlineStr">
        <is>
          <t>WO-1</t>
        </is>
      </c>
      <c r="B10" s="36" t="inlineStr">
        <is>
          <t>WO (Mini-Maxi)</t>
        </is>
      </c>
      <c r="C10" s="5" t="inlineStr">
        <is>
          <t>Refinance High-Cost EGP Debt</t>
        </is>
      </c>
      <c r="D10" s="8" t="inlineStr">
        <is>
          <t>Use sovereign wealth partnerships (ADQ/ADNEC) and Gulf expansion cash flows to substitute 28.6% EGP debt with lower-cost regional credit.</t>
        </is>
      </c>
      <c r="E10" s="38" t="inlineStr">
        <is>
          <t>High Priority</t>
        </is>
      </c>
      <c r="F10" s="8" t="inlineStr">
        <is>
          <t>Reduces interest burn (currently EGP 4.56B), releasing cash flow for site execution.</t>
        </is>
      </c>
    </row>
    <row r="11">
      <c r="A11" s="6" t="inlineStr">
        <is>
          <t>WO-2</t>
        </is>
      </c>
      <c r="B11" s="36" t="inlineStr">
        <is>
          <t>WO (Mini-Maxi)</t>
        </is>
      </c>
      <c r="C11" s="5" t="inlineStr">
        <is>
          <t>Accelerate Cash Conversion via Asset Monetization</t>
        </is>
      </c>
      <c r="D11" s="8" t="inlineStr">
        <is>
          <t>Convert properties under development into liquid cash by monetizing commercial spaces via Rawasy and leasing vehicles to close OCF gap.</t>
        </is>
      </c>
      <c r="E11" s="38" t="inlineStr">
        <is>
          <t>High Priority</t>
        </is>
      </c>
      <c r="F11" s="8" t="inlineStr">
        <is>
          <t>Securitization injections provide non-recourse liquidity for ongoing construction.</t>
        </is>
      </c>
    </row>
    <row r="12">
      <c r="A12" s="6" t="inlineStr">
        <is>
          <t>WO-3</t>
        </is>
      </c>
      <c r="B12" s="36" t="inlineStr">
        <is>
          <t>WO (Mini-Maxi)</t>
        </is>
      </c>
      <c r="C12" s="5" t="inlineStr">
        <is>
          <t>Enhance Maintenance Reserve Governance</t>
        </is>
      </c>
      <c r="D12" s="8" t="inlineStr">
        <is>
          <t>Establish independent audited trust accounts for Madinaty/Rehab maintenance deposits to eliminate resident litigation and restore brand trust.</t>
        </is>
      </c>
      <c r="E12" s="38" t="inlineStr">
        <is>
          <t>Medium Priority</t>
        </is>
      </c>
      <c r="F12" s="8" t="inlineStr">
        <is>
          <t>Resolves legal drag and prevents court attachment on developer bank accounts.</t>
        </is>
      </c>
    </row>
    <row r="13">
      <c r="A13" s="6" t="inlineStr">
        <is>
          <t>WT-1</t>
        </is>
      </c>
      <c r="B13" s="35" t="inlineStr">
        <is>
          <t>WT (Mini-Mini)</t>
        </is>
      </c>
      <c r="C13" s="5" t="inlineStr">
        <is>
          <t>Shorten Subcontractor Payment Cycles</t>
        </is>
      </c>
      <c r="D13" s="8" t="inlineStr">
        <is>
          <t>Reduce post-dated check tenors from 270 days to 60-90 days to prevent trade subcontractor insolvency and avoid project completion slippages.</t>
        </is>
      </c>
      <c r="E13" s="35" t="inlineStr">
        <is>
          <t>Critical Priority</t>
        </is>
      </c>
      <c r="F13" s="8" t="inlineStr">
        <is>
          <t>DIRECT MITIGATION: TMG must accelerate cash disbursements to prevent critical MEP collapse.</t>
        </is>
      </c>
    </row>
    <row r="14">
      <c r="A14" s="6" t="inlineStr">
        <is>
          <t>WT-2</t>
        </is>
      </c>
      <c r="B14" s="35" t="inlineStr">
        <is>
          <t>WT (Mini-Mini)</t>
        </is>
      </c>
      <c r="C14" s="5" t="inlineStr">
        <is>
          <t>Reform Resale Fee Structures</t>
        </is>
      </c>
      <c r="D14" s="8" t="inlineStr">
        <is>
          <t>Replace percentage-based resale transfer fees with flat administrative costs to comply with CPA Article 15 and eliminate legal liability.</t>
        </is>
      </c>
      <c r="E14" s="38" t="inlineStr">
        <is>
          <t>High Priority</t>
        </is>
      </c>
      <c r="F14" s="8" t="inlineStr">
        <is>
          <t>Shields executive leadership from misdemeanor court penalties under CPA law.</t>
        </is>
      </c>
    </row>
    <row r="15">
      <c r="A15" s="6" t="inlineStr">
        <is>
          <t>WT-3</t>
        </is>
      </c>
      <c r="B15" s="35" t="inlineStr">
        <is>
          <t>WT (Mini-Mini)</t>
        </is>
      </c>
      <c r="C15" s="5" t="inlineStr">
        <is>
          <t>Cap Off-Balance Sheet Lease Leverage</t>
        </is>
      </c>
      <c r="D15" s="8" t="inlineStr">
        <is>
          <t>Freeze new sale-and-leaseback transactions (currently EGP 44B) to ensure debt service obligations do not consume operating cash flows.</t>
        </is>
      </c>
      <c r="E15" s="38" t="inlineStr">
        <is>
          <t>High Priority</t>
        </is>
      </c>
      <c r="F15" s="8" t="inlineStr">
        <is>
          <t>Protects operational cash flow; prevents institutional leasing debt from starving site payments.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34" customWidth="1" min="5" max="5"/>
    <col width="46" customWidth="1" min="6" max="6"/>
  </cols>
  <sheetData>
    <row r="1">
      <c r="A1" s="1" t="inlineStr">
        <is>
          <t>P.ZONE INTERNATIONAL — Financial Exposure &amp; Subcontractor Defense Model (TMG Water Packages)</t>
        </is>
      </c>
    </row>
    <row r="2">
      <c r="A2" s="2" t="inlineStr">
        <is>
          <t>Water Features, Swimming Pools, Artificial Lakes &amp; Electro-Mechanical (MEP) Risk Assessment</t>
        </is>
      </c>
    </row>
    <row r="3">
      <c r="A3" s="3" t="inlineStr">
        <is>
          <t>Parameter / Scenario Variable</t>
        </is>
      </c>
      <c r="B3" s="4" t="inlineStr">
        <is>
          <t>50M EGP Standard Package</t>
        </is>
      </c>
      <c r="C3" s="4" t="inlineStr">
        <is>
          <t>100M EGP Mega Lake Package</t>
        </is>
      </c>
      <c r="D3" s="4" t="inlineStr">
        <is>
          <t>20M EGP Boutique Pool Package</t>
        </is>
      </c>
      <c r="E3" s="3" t="inlineStr">
        <is>
          <t>Calculation Formula</t>
        </is>
      </c>
      <c r="F3" s="3" t="inlineStr">
        <is>
          <t>Forensic Implication for P.ZONE</t>
        </is>
      </c>
    </row>
    <row r="4">
      <c r="A4" s="5" t="inlineStr">
        <is>
          <t>Total Contract Value (قيمة العقد)</t>
        </is>
      </c>
      <c r="B4" s="31" t="inlineStr">
        <is>
          <t>50,000,000 ج.م</t>
        </is>
      </c>
      <c r="C4" s="31" t="inlineStr">
        <is>
          <t>100,000,000 ج.م</t>
        </is>
      </c>
      <c r="D4" s="31" t="inlineStr">
        <is>
          <t>20,000,000 ج.م</t>
        </is>
      </c>
      <c r="E4" s="39" t="inlineStr">
        <is>
          <t>Contract Lump Sum</t>
        </is>
      </c>
      <c r="F4" s="8" t="inlineStr">
        <is>
          <t>Target Subcontract Package Scope</t>
        </is>
      </c>
    </row>
    <row r="5">
      <c r="A5" s="5" t="inlineStr">
        <is>
          <t>Imported MEP Equipment % (نسبة المستورد دولاري)</t>
        </is>
      </c>
      <c r="B5" s="31" t="inlineStr">
        <is>
          <t>65.0%</t>
        </is>
      </c>
      <c r="C5" s="31" t="inlineStr">
        <is>
          <t>70.0%</t>
        </is>
      </c>
      <c r="D5" s="31" t="inlineStr">
        <is>
          <t>55.0%</t>
        </is>
      </c>
      <c r="E5" s="39" t="inlineStr">
        <is>
          <t>Pumps, Filtration, Liners, Chemical Dosing</t>
        </is>
      </c>
      <c r="F5" s="8" t="inlineStr">
        <is>
          <t>Paid 100% Cash in USD to Foreign Suppliers</t>
        </is>
      </c>
    </row>
    <row r="6">
      <c r="A6" s="5" t="inlineStr">
        <is>
          <t>Imported USD Value (قيمة المستورد بالدولار)</t>
        </is>
      </c>
      <c r="B6" s="31" t="inlineStr">
        <is>
          <t>$656,566</t>
        </is>
      </c>
      <c r="C6" s="31" t="inlineStr">
        <is>
          <t>$1,414,141</t>
        </is>
      </c>
      <c r="D6" s="31" t="inlineStr">
        <is>
          <t>$222,222</t>
        </is>
      </c>
      <c r="E6" s="39" t="inlineStr">
        <is>
          <t>Contract Value * MEP % / 49.5</t>
        </is>
      </c>
      <c r="F6" s="8" t="inlineStr">
        <is>
          <t>Immediate Cash Outflow Required by P.ZONE</t>
        </is>
      </c>
    </row>
    <row r="7">
      <c r="A7" s="5" t="inlineStr">
        <is>
          <t>Local Civil &amp; Labor Cost (الأعمال المدنية والعمالة)</t>
        </is>
      </c>
      <c r="B7" s="31" t="inlineStr">
        <is>
          <t>17,500,000 ج.م</t>
        </is>
      </c>
      <c r="C7" s="31" t="inlineStr">
        <is>
          <t>30,000,000 ج.م</t>
        </is>
      </c>
      <c r="D7" s="31" t="inlineStr">
        <is>
          <t>9,000,000 ج.م</t>
        </is>
      </c>
      <c r="E7" s="39" t="inlineStr">
        <is>
          <t>Contract Value * (1 - MEP %)</t>
        </is>
      </c>
      <c r="F7" s="8" t="inlineStr">
        <is>
          <t>Local EGP working capital requirements</t>
        </is>
      </c>
    </row>
    <row r="8">
      <c r="A8" s="5" t="inlineStr">
        <is>
          <t>Expected Payment Delay (متوسط تأخير المستخلص)</t>
        </is>
      </c>
      <c r="B8" s="31" t="inlineStr">
        <is>
          <t>160 Days (DPO)</t>
        </is>
      </c>
      <c r="C8" s="31" t="inlineStr">
        <is>
          <t>180 Days (DPO)</t>
        </is>
      </c>
      <c r="D8" s="31" t="inlineStr">
        <is>
          <t>135 Days (DPO)</t>
        </is>
      </c>
      <c r="E8" s="39" t="inlineStr">
        <is>
          <t>TMG Audited DPO Average</t>
        </is>
      </c>
      <c r="F8" s="8" t="inlineStr">
        <is>
          <t>Stretches to 270 days with post-dated checks</t>
        </is>
      </c>
    </row>
    <row r="9">
      <c r="A9" s="5" t="inlineStr">
        <is>
          <t>Required Frozen Working Capital (الكاش المجمد)</t>
        </is>
      </c>
      <c r="B9" s="31" t="inlineStr">
        <is>
          <t>17,534,246 ج.م</t>
        </is>
      </c>
      <c r="C9" s="31" t="inlineStr">
        <is>
          <t>39,452,055 ج.م</t>
        </is>
      </c>
      <c r="D9" s="31" t="inlineStr">
        <is>
          <t>5,917,808 ج.م</t>
        </is>
      </c>
      <c r="E9" s="39" t="inlineStr">
        <is>
          <t>Contract * (Delay / 365) * 0.80</t>
        </is>
      </c>
      <c r="F9" s="8" t="inlineStr">
        <is>
          <t>Liquid capital P.ZONE must self-finance</t>
        </is>
      </c>
    </row>
    <row r="10">
      <c r="A10" s="5" t="inlineStr">
        <is>
          <t>Bank Financing Cost @ 28% APR (تكلفة الفائدة البنكية)</t>
        </is>
      </c>
      <c r="B10" s="31" t="inlineStr">
        <is>
          <t>2,151,889 ج.م</t>
        </is>
      </c>
      <c r="C10" s="31" t="inlineStr">
        <is>
          <t>5,446,950 ج.م</t>
        </is>
      </c>
      <c r="D10" s="31" t="inlineStr">
        <is>
          <t>612,492 ج.م</t>
        </is>
      </c>
      <c r="E10" s="39" t="inlineStr">
        <is>
          <t>Frozen Capital * 28% * (Delay / 365)</t>
        </is>
      </c>
      <c r="F10" s="8" t="inlineStr">
        <is>
          <t>Directly erodes 4.3% - 5.4% of contract profit</t>
        </is>
      </c>
    </row>
    <row r="11">
      <c r="A11" s="5" t="inlineStr">
        <is>
          <t>Unhedged FX Devaluation Loss @ 15% (خسارة التعويم)</t>
        </is>
      </c>
      <c r="B11" s="31" t="inlineStr">
        <is>
          <t>4,875,000 ج.م</t>
        </is>
      </c>
      <c r="C11" s="31" t="inlineStr">
        <is>
          <t>10,500,000 ج.م</t>
        </is>
      </c>
      <c r="D11" s="31" t="inlineStr">
        <is>
          <t>1,650,000 ج.م</t>
        </is>
      </c>
      <c r="E11" s="39" t="inlineStr">
        <is>
          <t>Imported MEP Value * 15% Deval</t>
        </is>
      </c>
      <c r="F11" s="8" t="inlineStr">
        <is>
          <t>Destroys full margin if contract not USD-pegged</t>
        </is>
      </c>
    </row>
    <row r="12">
      <c r="A12" s="40" t="inlineStr">
        <is>
          <t>Total Financial Exposure (إجمالي المخاطرة النقدية)</t>
        </is>
      </c>
      <c r="B12" s="32" t="inlineStr">
        <is>
          <t>7,026,889 ج.م</t>
        </is>
      </c>
      <c r="C12" s="32" t="inlineStr">
        <is>
          <t>15,946,950 ج.م</t>
        </is>
      </c>
      <c r="D12" s="32" t="inlineStr">
        <is>
          <t>2,262,492 ج.م</t>
        </is>
      </c>
      <c r="E12" s="39" t="inlineStr">
        <is>
          <t>Interest Cost + FX Deval Loss</t>
        </is>
      </c>
      <c r="F12" s="8" t="inlineStr">
        <is>
          <t>Exceeds standard 15%-20% contractor net profit!</t>
        </is>
      </c>
    </row>
    <row r="13">
      <c r="A13" s="41" t="inlineStr">
        <is>
          <t>Minimum Required Mobilization Advance (الدفعة المقدمة)</t>
        </is>
      </c>
      <c r="B13" s="33" t="inlineStr">
        <is>
          <t>20,000,000 ج.م (40%)</t>
        </is>
      </c>
      <c r="C13" s="33" t="inlineStr">
        <is>
          <t>45,000,000 ج.م (45%)</t>
        </is>
      </c>
      <c r="D13" s="33" t="inlineStr">
        <is>
          <t>7,000,000 ج.م (35%)</t>
        </is>
      </c>
      <c r="E13" s="39" t="inlineStr">
        <is>
          <t>Max(35%, MEP % * 60%)</t>
        </is>
      </c>
      <c r="F13" s="8" t="inlineStr">
        <is>
          <t>MANDATORY: Must cover 100% of imported equipment LCs</t>
        </is>
      </c>
    </row>
    <row r="14">
      <c r="A14" s="40" t="inlineStr">
        <is>
          <t>Subcontract Risk Verdict (التقييم الجنائي النهائي)</t>
        </is>
      </c>
      <c r="B14" s="32" t="inlineStr">
        <is>
          <t>CRITICAL (خطر حرج)</t>
        </is>
      </c>
      <c r="C14" s="32" t="inlineStr">
        <is>
          <t>SEVERE (خطر شديد جداً)</t>
        </is>
      </c>
      <c r="D14" s="32" t="inlineStr">
        <is>
          <t>HIGH (خطر مرتفع)</t>
        </is>
      </c>
      <c r="E14" s="39" t="inlineStr">
        <is>
          <t>Risk Assessment Rule</t>
        </is>
      </c>
      <c r="F14" s="8" t="inlineStr">
        <is>
          <t>DO NOT SIGN without advance LC &amp; elimination of Back-to-Back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2026-10-12T11:44:41Z</dcterms:created>
  <dcterms:modified xmlns:dcterms="http://purl.org/dc/terms/" xmlns:xsi="http://www.w3.org/2001/XMLSchema-instance" xsi:type="dcterms:W3CDTF">2026-10-12T11:44:41Z</dcterms:modified>
</cp:coreProperties>
</file>