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isk Brainstorming" sheetId="1" r:id="rId5"/>
    <sheet name="Risk Assesment(Planning&amp;schedu)" sheetId="2" r:id="rId6"/>
    <sheet name="Weibull(Planning &amp; Schedule)" sheetId="3" r:id="rId7"/>
    <sheet name="Risk Assesment(Cost Control)" sheetId="4" r:id="rId8"/>
    <sheet name="Weibull(Cost Control)" sheetId="5" r:id="rId9"/>
    <sheet name="Risk Assesment(Excavation)" sheetId="6" r:id="rId10"/>
    <sheet name="Weibull(Excavation)" sheetId="7" r:id="rId11"/>
    <sheet name="Risk Assesment(Concrete Works)" sheetId="8" r:id="rId12"/>
    <sheet name="Weibull(Concrete works)" sheetId="9" r:id="rId13"/>
    <sheet name="Risk score" sheetId="10" r:id="rId14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<sst xmlns="http://schemas.openxmlformats.org/spreadsheetml/2006/main" uniqueCount="79">
  <si>
    <t>BrainStorming</t>
  </si>
  <si>
    <t>Department</t>
  </si>
  <si>
    <t xml:space="preserve"> Key elements</t>
  </si>
  <si>
    <t>Construction 
processes / Factors</t>
  </si>
  <si>
    <t>Identified Risks</t>
  </si>
  <si>
    <t>Current Risk Management methods</t>
  </si>
  <si>
    <t>Proposed Risk Management methods</t>
  </si>
  <si>
    <t>Project Management</t>
  </si>
  <si>
    <t>Planning &amp; scheduling</t>
  </si>
  <si>
    <t>Project timeline, Sequencing of activities</t>
  </si>
  <si>
    <t>Schedule delays due to poor planning or coordination</t>
  </si>
  <si>
    <t>Baseline schedule, Weekly progress meetings</t>
  </si>
  <si>
    <t>Use Primavera/MS Project with critical path analysis, look-ahead planning (3–6 weeks)</t>
  </si>
  <si>
    <t>Cost Control</t>
  </si>
  <si>
    <t>Budgeting, Cash flow</t>
  </si>
  <si>
    <t>Cost overrun due to inaccurate BOQ or price escalation</t>
  </si>
  <si>
    <t>Initial cost estimate, approval workflow</t>
  </si>
  <si>
    <t>Detailed cost breakdown (CBS), contingency reserves, periodic cost variance analysis</t>
  </si>
  <si>
    <t>Site Operations</t>
  </si>
  <si>
    <t>Excavation &amp; Earthworks</t>
  </si>
  <si>
    <t>Soil conditions</t>
  </si>
  <si>
    <t>Collapse of excavation sides</t>
  </si>
  <si>
    <t>Basic shoring and supervision</t>
  </si>
  <si>
    <t>Geotechnical investigation, engineered shoring systems</t>
  </si>
  <si>
    <t>Concrete Works</t>
  </si>
  <si>
    <t>Mixing, pouring, Curing</t>
  </si>
  <si>
    <t>Poor concrete quality</t>
  </si>
  <si>
    <t>Site supervision, cube testing</t>
  </si>
  <si>
    <t>Automated batching control, curing procedures &amp; checklists</t>
  </si>
  <si>
    <t>Severity Of Risk</t>
  </si>
  <si>
    <t>Risk</t>
  </si>
  <si>
    <t>Number of occuraneces</t>
  </si>
  <si>
    <t>Likelihood</t>
  </si>
  <si>
    <t>M1</t>
  </si>
  <si>
    <t>Week 1</t>
  </si>
  <si>
    <t>Week 2</t>
  </si>
  <si>
    <t>Week 3</t>
  </si>
  <si>
    <t>Week 4</t>
  </si>
  <si>
    <t>M2</t>
  </si>
  <si>
    <t>M3</t>
  </si>
  <si>
    <t xml:space="preserve"> </t>
  </si>
  <si>
    <t>X</t>
  </si>
  <si>
    <t>Step1</t>
  </si>
  <si>
    <t>Step2</t>
  </si>
  <si>
    <t>Step3</t>
  </si>
  <si>
    <t>Weeks</t>
  </si>
  <si>
    <t>Number of occurances</t>
  </si>
  <si>
    <t>Rank</t>
  </si>
  <si>
    <t>X-axis</t>
  </si>
  <si>
    <t>Y-axis</t>
  </si>
  <si>
    <t xml:space="preserve">Excel Weibull function </t>
  </si>
  <si>
    <t>Week1</t>
  </si>
  <si>
    <t>Weibull Slope α</t>
  </si>
  <si>
    <t>Step4</t>
  </si>
  <si>
    <t>Exponential</t>
  </si>
  <si>
    <t>Week2</t>
  </si>
  <si>
    <t>β</t>
  </si>
  <si>
    <t>Step5</t>
  </si>
  <si>
    <t>Mean (average)</t>
  </si>
  <si>
    <t>EXPONDIST()</t>
  </si>
  <si>
    <t>Week3</t>
  </si>
  <si>
    <t>Weibull, CDF</t>
  </si>
  <si>
    <t>Step6</t>
  </si>
  <si>
    <t>Week4</t>
  </si>
  <si>
    <r>
      <rPr>
        <b val="1"/>
        <sz val="14"/>
        <color indexed="21"/>
        <rFont val="Palatino Linotype"/>
      </rPr>
      <t>Weibull (CDF)</t>
    </r>
    <r>
      <rPr>
        <b val="1"/>
        <sz val="14"/>
        <color indexed="11"/>
        <rFont val="Palatino Linotype"/>
      </rPr>
      <t xml:space="preserve"> defines the cumulative percentage of price that </t>
    </r>
    <r>
      <rPr>
        <b val="1"/>
        <sz val="14"/>
        <color indexed="21"/>
        <rFont val="Palatino Linotype"/>
      </rPr>
      <t>will occur</t>
    </r>
    <r>
      <rPr>
        <b val="1"/>
        <sz val="14"/>
        <color indexed="11"/>
        <rFont val="Palatino Linotype"/>
      </rPr>
      <t xml:space="preserve"> at time </t>
    </r>
    <r>
      <rPr>
        <b val="1"/>
        <i val="1"/>
        <sz val="14"/>
        <color indexed="11"/>
        <rFont val="Palatino Linotype"/>
      </rPr>
      <t>t</t>
    </r>
  </si>
  <si>
    <t>EXPECTED</t>
  </si>
  <si>
    <t>Expected Number of occurances using Weibull</t>
  </si>
  <si>
    <t>Expected Number of occurances using Exponential</t>
  </si>
  <si>
    <t>Standard Deviation</t>
  </si>
  <si>
    <t>Action Limit (99%)</t>
  </si>
  <si>
    <t>Normal Limit (99%)</t>
  </si>
  <si>
    <t>Identified Risk</t>
  </si>
  <si>
    <t>Probability (p)</t>
  </si>
  <si>
    <t>Likelihood (L)</t>
  </si>
  <si>
    <t>Risk Score (P * L)</t>
  </si>
  <si>
    <t>Risk (Planning &amp; schedule)</t>
  </si>
  <si>
    <t>Risk ( Cost Control)</t>
  </si>
  <si>
    <t>Risk (Excavation)</t>
  </si>
  <si>
    <t>Risk (Concrete works)</t>
  </si>
</sst>
</file>

<file path=xl/styles.xml><?xml version="1.0" encoding="utf-8"?>
<styleSheet xmlns="http://schemas.openxmlformats.org/spreadsheetml/2006/main">
  <numFmts count="11">
    <numFmt numFmtId="0" formatCode="General"/>
    <numFmt numFmtId="59" formatCode="&quot; &quot;* #,##0&quot; &quot;;&quot; &quot;* (#,##0);&quot; &quot;* &quot;- &quot;"/>
    <numFmt numFmtId="60" formatCode="0.0000"/>
    <numFmt numFmtId="61" formatCode="0.000"/>
    <numFmt numFmtId="62" formatCode="&quot; &quot;* #,##0.000&quot; &quot;;&quot; &quot;* (#,##0.000);&quot; &quot;* &quot;-&quot;???&quot; &quot;"/>
    <numFmt numFmtId="63" formatCode="0.000%"/>
    <numFmt numFmtId="64" formatCode="0.00000000%"/>
    <numFmt numFmtId="65" formatCode="&quot; &quot;* #,##0.00&quot; &quot;;&quot; &quot;* (#,##0.00);&quot; &quot;* &quot;- &quot;"/>
    <numFmt numFmtId="66" formatCode="&quot; &quot;* #,##0.00&quot; &quot;;&quot; &quot;* (#,##0.00);&quot; &quot;* &quot;-&quot;??&quot; &quot;"/>
    <numFmt numFmtId="67" formatCode="&quot; &quot;* #,##0.0000&quot; &quot;;&quot; &quot;* (#,##0.0000);&quot; &quot;* &quot;- &quot;"/>
    <numFmt numFmtId="68" formatCode="0.00000"/>
  </numFmts>
  <fonts count="26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20"/>
      <color indexed="11"/>
      <name val="Aptos Narrow"/>
    </font>
    <font>
      <sz val="12"/>
      <color indexed="8"/>
      <name val="Palatino Linotype"/>
    </font>
    <font>
      <b val="1"/>
      <sz val="12"/>
      <color indexed="8"/>
      <name val="Palatino Linotype"/>
    </font>
    <font>
      <sz val="14"/>
      <color indexed="8"/>
      <name val="Aptos Narrow"/>
    </font>
    <font>
      <b val="1"/>
      <sz val="11"/>
      <color indexed="8"/>
      <name val="Aptos Narrow"/>
    </font>
    <font>
      <b val="1"/>
      <u val="single"/>
      <sz val="18"/>
      <color indexed="19"/>
      <name val="Palatino Linotype"/>
    </font>
    <font>
      <sz val="18"/>
      <color indexed="8"/>
      <name val="Palatino Linotype"/>
    </font>
    <font>
      <b val="1"/>
      <i val="1"/>
      <sz val="18"/>
      <color indexed="11"/>
      <name val="Palatino Linotype"/>
    </font>
    <font>
      <b val="1"/>
      <sz val="16"/>
      <color indexed="8"/>
      <name val="Palatino Linotype"/>
    </font>
    <font>
      <b val="1"/>
      <sz val="16"/>
      <color indexed="8"/>
      <name val="Aptos Narrow"/>
    </font>
    <font>
      <b val="1"/>
      <sz val="14"/>
      <color indexed="8"/>
      <name val="Palatino Linotype"/>
    </font>
    <font>
      <b val="1"/>
      <sz val="18"/>
      <color indexed="8"/>
      <name val="Palatino Linotype"/>
    </font>
    <font>
      <b val="1"/>
      <sz val="18"/>
      <color indexed="8"/>
      <name val="Aptos Narrow"/>
    </font>
    <font>
      <b val="1"/>
      <sz val="18"/>
      <color indexed="11"/>
      <name val="Palatino Linotype"/>
    </font>
    <font>
      <b val="1"/>
      <sz val="10"/>
      <color indexed="8"/>
      <name val="Palatino Linotype"/>
    </font>
    <font>
      <b val="1"/>
      <sz val="14"/>
      <color indexed="11"/>
      <name val="Palatino Linotype"/>
    </font>
    <font>
      <b val="1"/>
      <sz val="14"/>
      <color indexed="21"/>
      <name val="Palatino Linotype"/>
    </font>
    <font>
      <b val="1"/>
      <i val="1"/>
      <sz val="14"/>
      <color indexed="11"/>
      <name val="Palatino Linotype"/>
    </font>
    <font>
      <b val="1"/>
      <sz val="12"/>
      <color indexed="11"/>
      <name val="Palatino Linotype"/>
    </font>
    <font>
      <sz val="20"/>
      <color indexed="8"/>
      <name val="Palatino Linotype"/>
    </font>
    <font>
      <b val="1"/>
      <sz val="20"/>
      <color indexed="8"/>
      <name val="Palatino Linotype"/>
    </font>
    <font>
      <b val="1"/>
      <sz val="16"/>
      <color indexed="11"/>
      <name val="Palatino Linotype"/>
    </font>
    <font>
      <b val="1"/>
      <sz val="12"/>
      <color indexed="8"/>
      <name val="Arial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5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10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medium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/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0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horizontal="center" vertical="center"/>
    </xf>
    <xf numFmtId="0" fontId="3" fillId="3" borderId="2" applyNumberFormat="0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3" fillId="3" borderId="5" applyNumberFormat="0" applyFont="1" applyFill="1" applyBorder="1" applyAlignment="1" applyProtection="0">
      <alignment horizontal="center" vertical="center"/>
    </xf>
    <xf numFmtId="0" fontId="0" fillId="2" borderId="6" applyNumberFormat="0" applyFont="1" applyFill="1" applyBorder="1" applyAlignment="1" applyProtection="0">
      <alignment vertical="bottom"/>
    </xf>
    <xf numFmtId="49" fontId="4" fillId="4" borderId="7" applyNumberFormat="1" applyFont="1" applyFill="1" applyBorder="1" applyAlignment="1" applyProtection="0">
      <alignment horizontal="center" vertical="center" wrapText="1"/>
    </xf>
    <xf numFmtId="0" fontId="4" fillId="4" borderId="8" applyNumberFormat="0" applyFont="1" applyFill="1" applyBorder="1" applyAlignment="1" applyProtection="0">
      <alignment horizontal="center" vertical="center" wrapText="1"/>
    </xf>
    <xf numFmtId="0" fontId="4" fillId="4" borderId="9" applyNumberFormat="0" applyFont="1" applyFill="1" applyBorder="1" applyAlignment="1" applyProtection="0">
      <alignment horizontal="center" vertical="center" wrapText="1"/>
    </xf>
    <xf numFmtId="49" fontId="4" fillId="3" borderId="10" applyNumberFormat="1" applyFont="1" applyFill="1" applyBorder="1" applyAlignment="1" applyProtection="0">
      <alignment horizontal="center" vertical="center" wrapText="1"/>
    </xf>
    <xf numFmtId="49" fontId="4" fillId="5" borderId="11" applyNumberFormat="1" applyFont="1" applyFill="1" applyBorder="1" applyAlignment="1" applyProtection="0">
      <alignment horizontal="center" vertical="center" wrapText="1"/>
    </xf>
    <xf numFmtId="49" fontId="4" fillId="6" borderId="11" applyNumberFormat="1" applyFont="1" applyFill="1" applyBorder="1" applyAlignment="1" applyProtection="0">
      <alignment horizontal="center" vertical="center" wrapText="1"/>
    </xf>
    <xf numFmtId="0" fontId="4" fillId="3" borderId="12" applyNumberFormat="0" applyFont="1" applyFill="1" applyBorder="1" applyAlignment="1" applyProtection="0">
      <alignment horizontal="center" vertical="center" wrapText="1"/>
    </xf>
    <xf numFmtId="0" fontId="4" fillId="7" borderId="13" applyNumberFormat="0" applyFont="1" applyFill="1" applyBorder="1" applyAlignment="1" applyProtection="0">
      <alignment vertical="center" wrapText="1"/>
    </xf>
    <xf numFmtId="0" fontId="4" fillId="7" borderId="14" applyNumberFormat="0" applyFont="1" applyFill="1" applyBorder="1" applyAlignment="1" applyProtection="0">
      <alignment vertical="center" wrapText="1"/>
    </xf>
    <xf numFmtId="0" fontId="4" fillId="7" borderId="15" applyNumberFormat="0" applyFont="1" applyFill="1" applyBorder="1" applyAlignment="1" applyProtection="0">
      <alignment vertical="center" wrapText="1"/>
    </xf>
    <xf numFmtId="49" fontId="4" fillId="3" borderId="16" applyNumberFormat="1" applyFont="1" applyFill="1" applyBorder="1" applyAlignment="1" applyProtection="0">
      <alignment horizontal="center" vertical="center" wrapText="1"/>
    </xf>
    <xf numFmtId="49" fontId="4" fillId="5" borderId="17" applyNumberFormat="1" applyFont="1" applyFill="1" applyBorder="1" applyAlignment="1" applyProtection="0">
      <alignment horizontal="center" vertical="center" wrapText="1"/>
    </xf>
    <xf numFmtId="0" fontId="4" fillId="3" borderId="18" applyNumberFormat="0" applyFont="1" applyFill="1" applyBorder="1" applyAlignment="1" applyProtection="0">
      <alignment horizontal="center" vertical="center" wrapText="1"/>
    </xf>
    <xf numFmtId="49" fontId="4" fillId="5" borderId="19" applyNumberFormat="1" applyFont="1" applyFill="1" applyBorder="1" applyAlignment="1" applyProtection="0">
      <alignment horizontal="center" vertical="center" wrapText="1"/>
    </xf>
    <xf numFmtId="49" fontId="4" fillId="6" borderId="20" applyNumberFormat="1" applyFont="1" applyFill="1" applyBorder="1" applyAlignment="1" applyProtection="0">
      <alignment horizontal="center" vertical="center" wrapText="1"/>
    </xf>
    <xf numFmtId="0" fontId="0" fillId="2" borderId="21" applyNumberFormat="0" applyFont="1" applyFill="1" applyBorder="1" applyAlignment="1" applyProtection="0">
      <alignment vertical="bottom"/>
    </xf>
    <xf numFmtId="0" fontId="0" fillId="2" borderId="22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49" fontId="4" fillId="8" borderId="11" applyNumberFormat="1" applyFont="1" applyFill="1" applyBorder="1" applyAlignment="1" applyProtection="0">
      <alignment horizontal="center" vertical="center" wrapText="1"/>
    </xf>
    <xf numFmtId="0" fontId="4" fillId="8" borderId="11" applyNumberFormat="0" applyFont="1" applyFill="1" applyBorder="1" applyAlignment="1" applyProtection="0">
      <alignment horizontal="center" vertical="center" wrapText="1"/>
    </xf>
    <xf numFmtId="0" fontId="0" fillId="2" borderId="26" applyNumberFormat="0" applyFont="1" applyFill="1" applyBorder="1" applyAlignment="1" applyProtection="0">
      <alignment vertical="bottom"/>
    </xf>
    <xf numFmtId="0" fontId="0" fillId="2" borderId="27" applyNumberFormat="0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bottom"/>
    </xf>
    <xf numFmtId="49" fontId="4" fillId="4" borderId="17" applyNumberFormat="1" applyFont="1" applyFill="1" applyBorder="1" applyAlignment="1" applyProtection="0">
      <alignment horizontal="center" vertical="center" wrapText="1"/>
    </xf>
    <xf numFmtId="49" fontId="4" fillId="4" borderId="11" applyNumberFormat="1" applyFont="1" applyFill="1" applyBorder="1" applyAlignment="1" applyProtection="0">
      <alignment horizontal="center" vertical="center" wrapText="1"/>
    </xf>
    <xf numFmtId="0" fontId="4" fillId="4" borderId="11" applyNumberFormat="1" applyFont="1" applyFill="1" applyBorder="1" applyAlignment="1" applyProtection="0">
      <alignment horizontal="center" vertical="center" wrapText="1"/>
    </xf>
    <xf numFmtId="49" fontId="4" fillId="4" borderId="28" applyNumberFormat="1" applyFont="1" applyFill="1" applyBorder="1" applyAlignment="1" applyProtection="0">
      <alignment horizontal="center" vertical="center" wrapText="1"/>
    </xf>
    <xf numFmtId="49" fontId="5" fillId="8" borderId="29" applyNumberFormat="1" applyFont="1" applyFill="1" applyBorder="1" applyAlignment="1" applyProtection="0">
      <alignment horizontal="center" vertical="center"/>
    </xf>
    <xf numFmtId="49" fontId="6" fillId="9" borderId="11" applyNumberFormat="1" applyFont="1" applyFill="1" applyBorder="1" applyAlignment="1" applyProtection="0">
      <alignment horizontal="center" vertical="center"/>
    </xf>
    <xf numFmtId="49" fontId="4" fillId="10" borderId="20" applyNumberFormat="1" applyFont="1" applyFill="1" applyBorder="1" applyAlignment="1" applyProtection="0">
      <alignment horizontal="center" vertical="center" wrapText="1"/>
    </xf>
    <xf numFmtId="0" fontId="0" fillId="2" borderId="11" applyNumberFormat="0" applyFont="1" applyFill="1" applyBorder="1" applyAlignment="1" applyProtection="0">
      <alignment vertical="center"/>
    </xf>
    <xf numFmtId="0" fontId="7" fillId="2" borderId="11" applyNumberFormat="1" applyFont="1" applyFill="1" applyBorder="1" applyAlignment="1" applyProtection="0">
      <alignment horizontal="center" vertical="bottom"/>
    </xf>
    <xf numFmtId="0" fontId="7" fillId="2" borderId="11" applyNumberFormat="1" applyFont="1" applyFill="1" applyBorder="1" applyAlignment="1" applyProtection="0">
      <alignment vertical="bottom"/>
    </xf>
    <xf numFmtId="0" fontId="6" fillId="9" borderId="11" applyNumberFormat="0" applyFont="1" applyFill="1" applyBorder="1" applyAlignment="1" applyProtection="0">
      <alignment horizontal="center" vertical="center"/>
    </xf>
    <xf numFmtId="0" fontId="4" fillId="6" borderId="30" applyNumberFormat="0" applyFont="1" applyFill="1" applyBorder="1" applyAlignment="1" applyProtection="0">
      <alignment horizontal="center" vertical="center" wrapText="1"/>
    </xf>
    <xf numFmtId="0" fontId="4" fillId="10" borderId="30" applyNumberFormat="0" applyFont="1" applyFill="1" applyBorder="1" applyAlignment="1" applyProtection="0">
      <alignment horizontal="center" vertical="center" wrapText="1"/>
    </xf>
    <xf numFmtId="0" fontId="0" fillId="2" borderId="31" applyNumberFormat="0" applyFont="1" applyFill="1" applyBorder="1" applyAlignment="1" applyProtection="0">
      <alignment vertical="bottom"/>
    </xf>
    <xf numFmtId="0" fontId="0" fillId="2" borderId="32" applyNumberFormat="0" applyFont="1" applyFill="1" applyBorder="1" applyAlignment="1" applyProtection="0">
      <alignment vertical="bottom"/>
    </xf>
    <xf numFmtId="0" fontId="0" fillId="2" borderId="33" applyNumberFormat="0" applyFont="1" applyFill="1" applyBorder="1" applyAlignment="1" applyProtection="0">
      <alignment vertical="bottom"/>
    </xf>
    <xf numFmtId="0" fontId="7" fillId="3" borderId="23" applyNumberFormat="1" applyFont="1" applyFill="1" applyBorder="1" applyAlignment="1" applyProtection="0">
      <alignment horizontal="center" vertical="center"/>
    </xf>
    <xf numFmtId="9" fontId="7" fillId="2" borderId="2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34" applyNumberFormat="0" applyFont="1" applyFill="1" applyBorder="1" applyAlignment="1" applyProtection="0">
      <alignment vertical="center"/>
    </xf>
    <xf numFmtId="0" fontId="0" fillId="2" borderId="34" applyNumberFormat="0" applyFont="1" applyFill="1" applyBorder="1" applyAlignment="1" applyProtection="0">
      <alignment vertical="bottom"/>
    </xf>
    <xf numFmtId="59" fontId="8" fillId="2" borderId="34" applyNumberFormat="1" applyFont="1" applyFill="1" applyBorder="1" applyAlignment="1" applyProtection="0">
      <alignment horizontal="center" vertical="bottom"/>
    </xf>
    <xf numFmtId="0" fontId="0" fillId="2" borderId="35" applyNumberFormat="0" applyFont="1" applyFill="1" applyBorder="1" applyAlignment="1" applyProtection="0">
      <alignment vertical="bottom"/>
    </xf>
    <xf numFmtId="0" fontId="5" fillId="2" borderId="34" applyNumberFormat="0" applyFont="1" applyFill="1" applyBorder="1" applyAlignment="1" applyProtection="0">
      <alignment horizontal="center" vertical="center"/>
    </xf>
    <xf numFmtId="49" fontId="0" fillId="2" borderId="35" applyNumberFormat="1" applyFont="1" applyFill="1" applyBorder="1" applyAlignment="1" applyProtection="0">
      <alignment vertical="bottom"/>
    </xf>
    <xf numFmtId="0" fontId="4" fillId="2" borderId="11" applyNumberFormat="0" applyFont="1" applyFill="1" applyBorder="1" applyAlignment="1" applyProtection="0">
      <alignment horizontal="center" vertical="center" wrapText="1"/>
    </xf>
    <xf numFmtId="0" fontId="5" fillId="2" borderId="36" applyNumberFormat="0" applyFont="1" applyFill="1" applyBorder="1" applyAlignment="1" applyProtection="0">
      <alignment horizontal="center" vertical="center"/>
    </xf>
    <xf numFmtId="49" fontId="5" fillId="11" borderId="11" applyNumberFormat="1" applyFont="1" applyFill="1" applyBorder="1" applyAlignment="1" applyProtection="0">
      <alignment horizontal="center" vertical="center"/>
    </xf>
    <xf numFmtId="49" fontId="5" fillId="4" borderId="11" applyNumberFormat="1" applyFont="1" applyFill="1" applyBorder="1" applyAlignment="1" applyProtection="0">
      <alignment horizontal="center" vertical="center"/>
    </xf>
    <xf numFmtId="0" fontId="4" fillId="2" borderId="36" applyNumberFormat="0" applyFont="1" applyFill="1" applyBorder="1" applyAlignment="1" applyProtection="0">
      <alignment horizontal="center" vertical="center" wrapText="1"/>
    </xf>
    <xf numFmtId="0" fontId="9" fillId="2" borderId="35" applyNumberFormat="0" applyFont="1" applyFill="1" applyBorder="1" applyAlignment="1" applyProtection="0">
      <alignment vertical="bottom"/>
    </xf>
    <xf numFmtId="0" fontId="9" fillId="2" borderId="34" applyNumberFormat="0" applyFont="1" applyFill="1" applyBorder="1" applyAlignment="1" applyProtection="0">
      <alignment vertical="center"/>
    </xf>
    <xf numFmtId="0" fontId="9" fillId="2" borderId="34" applyNumberFormat="0" applyFont="1" applyFill="1" applyBorder="1" applyAlignment="1" applyProtection="0">
      <alignment vertical="bottom"/>
    </xf>
    <xf numFmtId="0" fontId="0" fillId="2" borderId="27" applyNumberFormat="0" applyFont="1" applyFill="1" applyBorder="1" applyAlignment="1" applyProtection="0">
      <alignment vertical="center"/>
    </xf>
    <xf numFmtId="49" fontId="5" fillId="2" borderId="11" applyNumberFormat="1" applyFont="1" applyFill="1" applyBorder="1" applyAlignment="1" applyProtection="0">
      <alignment horizontal="center" vertical="center" wrapText="1"/>
    </xf>
    <xf numFmtId="49" fontId="5" fillId="2" borderId="11" applyNumberFormat="1" applyFont="1" applyFill="1" applyBorder="1" applyAlignment="1" applyProtection="0">
      <alignment horizontal="center" vertical="center"/>
    </xf>
    <xf numFmtId="0" fontId="0" fillId="2" borderId="36" applyNumberFormat="0" applyFont="1" applyFill="1" applyBorder="1" applyAlignment="1" applyProtection="0">
      <alignment vertical="bottom"/>
    </xf>
    <xf numFmtId="49" fontId="10" fillId="8" borderId="11" applyNumberFormat="1" applyFont="1" applyFill="1" applyBorder="1" applyAlignment="1" applyProtection="0">
      <alignment horizontal="center" vertical="center" wrapText="1"/>
    </xf>
    <xf numFmtId="0" fontId="9" fillId="2" borderId="37" applyNumberFormat="0" applyFont="1" applyFill="1" applyBorder="1" applyAlignment="1" applyProtection="0">
      <alignment vertical="center"/>
    </xf>
    <xf numFmtId="49" fontId="11" fillId="2" borderId="11" applyNumberFormat="1" applyFont="1" applyFill="1" applyBorder="1" applyAlignment="1" applyProtection="0">
      <alignment horizontal="center" vertical="center"/>
    </xf>
    <xf numFmtId="49" fontId="5" fillId="2" borderId="38" applyNumberFormat="1" applyFont="1" applyFill="1" applyBorder="1" applyAlignment="1" applyProtection="0">
      <alignment vertical="bottom"/>
    </xf>
    <xf numFmtId="0" fontId="12" fillId="2" borderId="11" applyNumberFormat="1" applyFont="1" applyFill="1" applyBorder="1" applyAlignment="1" applyProtection="0">
      <alignment horizontal="center" vertical="bottom"/>
    </xf>
    <xf numFmtId="0" fontId="13" fillId="2" borderId="11" applyNumberFormat="1" applyFont="1" applyFill="1" applyBorder="1" applyAlignment="1" applyProtection="0">
      <alignment horizontal="center" vertical="center"/>
    </xf>
    <xf numFmtId="60" fontId="13" fillId="2" borderId="11" applyNumberFormat="1" applyFont="1" applyFill="1" applyBorder="1" applyAlignment="1" applyProtection="0">
      <alignment horizontal="center" vertical="center"/>
    </xf>
    <xf numFmtId="0" fontId="5" fillId="2" borderId="25" applyNumberFormat="0" applyFont="1" applyFill="1" applyBorder="1" applyAlignment="1" applyProtection="0">
      <alignment horizontal="center" vertical="center" wrapText="1"/>
    </xf>
    <xf numFmtId="49" fontId="14" fillId="11" borderId="11" applyNumberFormat="1" applyFont="1" applyFill="1" applyBorder="1" applyAlignment="1" applyProtection="0">
      <alignment horizontal="center" vertical="center" wrapText="1"/>
    </xf>
    <xf numFmtId="61" fontId="14" fillId="11" borderId="11" applyNumberFormat="1" applyFont="1" applyFill="1" applyBorder="1" applyAlignment="1" applyProtection="0">
      <alignment horizontal="center" vertical="center"/>
    </xf>
    <xf numFmtId="49" fontId="14" fillId="4" borderId="11" applyNumberFormat="1" applyFont="1" applyFill="1" applyBorder="1" applyAlignment="1" applyProtection="0">
      <alignment horizontal="center" vertical="center"/>
    </xf>
    <xf numFmtId="49" fontId="14" fillId="8" borderId="11" applyNumberFormat="1" applyFont="1" applyFill="1" applyBorder="1" applyAlignment="1" applyProtection="0">
      <alignment horizontal="center" vertical="center"/>
    </xf>
    <xf numFmtId="0" fontId="11" fillId="2" borderId="11" applyNumberFormat="0" applyFont="1" applyFill="1" applyBorder="1" applyAlignment="1" applyProtection="0">
      <alignment horizontal="center" vertical="center"/>
    </xf>
    <xf numFmtId="49" fontId="5" fillId="2" borderId="39" applyNumberFormat="1" applyFont="1" applyFill="1" applyBorder="1" applyAlignment="1" applyProtection="0">
      <alignment vertical="bottom"/>
    </xf>
    <xf numFmtId="49" fontId="15" fillId="11" borderId="11" applyNumberFormat="1" applyFont="1" applyFill="1" applyBorder="1" applyAlignment="1" applyProtection="0">
      <alignment horizontal="center" vertical="center"/>
    </xf>
    <xf numFmtId="62" fontId="14" fillId="11" borderId="11" applyNumberFormat="1" applyFont="1" applyFill="1" applyBorder="1" applyAlignment="1" applyProtection="0">
      <alignment horizontal="center" vertical="center"/>
    </xf>
    <xf numFmtId="0" fontId="0" fillId="2" borderId="39" applyNumberFormat="0" applyFont="1" applyFill="1" applyBorder="1" applyAlignment="1" applyProtection="0">
      <alignment vertical="bottom"/>
    </xf>
    <xf numFmtId="49" fontId="14" fillId="2" borderId="11" applyNumberFormat="1" applyFont="1" applyFill="1" applyBorder="1" applyAlignment="1" applyProtection="0">
      <alignment horizontal="center" vertical="center"/>
    </xf>
    <xf numFmtId="49" fontId="5" fillId="2" borderId="40" applyNumberFormat="1" applyFont="1" applyFill="1" applyBorder="1" applyAlignment="1" applyProtection="0">
      <alignment vertical="bottom"/>
    </xf>
    <xf numFmtId="0" fontId="4" fillId="2" borderId="36" applyNumberFormat="0" applyFont="1" applyFill="1" applyBorder="1" applyAlignment="1" applyProtection="0">
      <alignment horizontal="center" vertical="center"/>
    </xf>
    <xf numFmtId="0" fontId="4" fillId="2" borderId="34" applyNumberFormat="0" applyFont="1" applyFill="1" applyBorder="1" applyAlignment="1" applyProtection="0">
      <alignment horizontal="center" vertical="center"/>
    </xf>
    <xf numFmtId="49" fontId="16" fillId="2" borderId="41" applyNumberFormat="1" applyFont="1" applyFill="1" applyBorder="1" applyAlignment="1" applyProtection="0">
      <alignment horizontal="center" vertical="center"/>
    </xf>
    <xf numFmtId="10" fontId="16" fillId="2" borderId="11" applyNumberFormat="1" applyFont="1" applyFill="1" applyBorder="1" applyAlignment="1" applyProtection="0">
      <alignment horizontal="center" vertical="center"/>
    </xf>
    <xf numFmtId="0" fontId="14" fillId="4" borderId="11" applyNumberFormat="1" applyFont="1" applyFill="1" applyBorder="1" applyAlignment="1" applyProtection="0">
      <alignment horizontal="center" vertical="center"/>
    </xf>
    <xf numFmtId="63" fontId="14" fillId="8" borderId="11" applyNumberFormat="1" applyFont="1" applyFill="1" applyBorder="1" applyAlignment="1" applyProtection="0">
      <alignment horizontal="center" vertical="center"/>
    </xf>
    <xf numFmtId="49" fontId="5" fillId="5" borderId="30" applyNumberFormat="1" applyFont="1" applyFill="1" applyBorder="1" applyAlignment="1" applyProtection="0">
      <alignment vertical="bottom"/>
    </xf>
    <xf numFmtId="0" fontId="0" fillId="2" borderId="31" applyNumberFormat="0" applyFont="1" applyFill="1" applyBorder="1" applyAlignment="1" applyProtection="0">
      <alignment vertical="center"/>
    </xf>
    <xf numFmtId="49" fontId="5" fillId="2" borderId="42" applyNumberFormat="1" applyFont="1" applyFill="1" applyBorder="1" applyAlignment="1" applyProtection="0">
      <alignment vertical="bottom"/>
    </xf>
    <xf numFmtId="0" fontId="17" fillId="2" borderId="11" applyNumberFormat="0" applyFont="1" applyFill="1" applyBorder="1" applyAlignment="1" applyProtection="0">
      <alignment horizontal="center" vertical="center"/>
    </xf>
    <xf numFmtId="0" fontId="17" fillId="2" borderId="31" applyNumberFormat="0" applyFont="1" applyFill="1" applyBorder="1" applyAlignment="1" applyProtection="0">
      <alignment horizontal="center" vertical="center"/>
    </xf>
    <xf numFmtId="49" fontId="18" fillId="2" borderId="34" applyNumberFormat="1" applyFont="1" applyFill="1" applyBorder="1" applyAlignment="1" applyProtection="0">
      <alignment vertical="bottom"/>
    </xf>
    <xf numFmtId="10" fontId="21" fillId="2" borderId="34" applyNumberFormat="1" applyFont="1" applyFill="1" applyBorder="1" applyAlignment="1" applyProtection="0">
      <alignment vertical="center"/>
    </xf>
    <xf numFmtId="0" fontId="5" fillId="2" borderId="34" applyNumberFormat="0" applyFont="1" applyFill="1" applyBorder="1" applyAlignment="1" applyProtection="0">
      <alignment horizontal="center" vertical="bottom" wrapText="1"/>
    </xf>
    <xf numFmtId="64" fontId="5" fillId="2" borderId="34" applyNumberFormat="1" applyFont="1" applyFill="1" applyBorder="1" applyAlignment="1" applyProtection="0">
      <alignment vertical="center"/>
    </xf>
    <xf numFmtId="60" fontId="0" fillId="2" borderId="34" applyNumberFormat="1" applyFont="1" applyFill="1" applyBorder="1" applyAlignment="1" applyProtection="0">
      <alignment vertical="center"/>
    </xf>
    <xf numFmtId="60" fontId="5" fillId="2" borderId="36" applyNumberFormat="1" applyFont="1" applyFill="1" applyBorder="1" applyAlignment="1" applyProtection="0">
      <alignment horizontal="center" vertical="bottom"/>
    </xf>
    <xf numFmtId="0" fontId="5" fillId="2" borderId="34" applyNumberFormat="0" applyFont="1" applyFill="1" applyBorder="1" applyAlignment="1" applyProtection="0">
      <alignment horizontal="left" vertical="bottom"/>
    </xf>
    <xf numFmtId="0" fontId="0" fillId="2" borderId="33" applyNumberFormat="0" applyFont="1" applyFill="1" applyBorder="1" applyAlignment="1" applyProtection="0">
      <alignment vertical="center"/>
    </xf>
    <xf numFmtId="49" fontId="13" fillId="12" borderId="43" applyNumberFormat="1" applyFont="1" applyFill="1" applyBorder="1" applyAlignment="1" applyProtection="0">
      <alignment horizontal="left" vertical="center"/>
    </xf>
    <xf numFmtId="65" fontId="12" fillId="2" borderId="11" applyNumberFormat="1" applyFont="1" applyFill="1" applyBorder="1" applyAlignment="1" applyProtection="0">
      <alignment horizontal="center" vertical="bottom"/>
    </xf>
    <xf numFmtId="0" fontId="5" fillId="2" borderId="44" applyNumberFormat="0" applyFont="1" applyFill="1" applyBorder="1" applyAlignment="1" applyProtection="0">
      <alignment horizontal="center" vertical="center"/>
    </xf>
    <xf numFmtId="0" fontId="5" fillId="2" borderId="31" applyNumberFormat="0" applyFont="1" applyFill="1" applyBorder="1" applyAlignment="1" applyProtection="0">
      <alignment horizontal="center" vertical="center"/>
    </xf>
    <xf numFmtId="0" fontId="0" fillId="2" borderId="45" applyNumberFormat="0" applyFont="1" applyFill="1" applyBorder="1" applyAlignment="1" applyProtection="0">
      <alignment vertical="bottom"/>
    </xf>
    <xf numFmtId="59" fontId="22" fillId="2" borderId="46" applyNumberFormat="1" applyFont="1" applyFill="1" applyBorder="1" applyAlignment="1" applyProtection="0">
      <alignment horizontal="center" vertical="bottom"/>
    </xf>
    <xf numFmtId="60" fontId="4" fillId="2" borderId="34" applyNumberFormat="1" applyFont="1" applyFill="1" applyBorder="1" applyAlignment="1" applyProtection="0">
      <alignment horizontal="center" vertical="center"/>
    </xf>
    <xf numFmtId="0" fontId="5" fillId="2" borderId="34" applyNumberFormat="0" applyFont="1" applyFill="1" applyBorder="1" applyAlignment="1" applyProtection="0">
      <alignment vertical="bottom" wrapText="1"/>
    </xf>
    <xf numFmtId="64" fontId="5" fillId="2" borderId="34" applyNumberFormat="1" applyFont="1" applyFill="1" applyBorder="1" applyAlignment="1" applyProtection="0">
      <alignment horizontal="center" vertical="center"/>
    </xf>
    <xf numFmtId="0" fontId="4" fillId="2" borderId="34" applyNumberFormat="0" applyFont="1" applyFill="1" applyBorder="1" applyAlignment="1" applyProtection="0">
      <alignment vertical="center"/>
    </xf>
    <xf numFmtId="0" fontId="4" fillId="2" borderId="34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center"/>
    </xf>
    <xf numFmtId="49" fontId="14" fillId="8" borderId="11" applyNumberFormat="1" applyFont="1" applyFill="1" applyBorder="1" applyAlignment="1" applyProtection="0">
      <alignment horizontal="center" vertical="center" wrapText="1"/>
    </xf>
    <xf numFmtId="65" fontId="23" fillId="8" borderId="11" applyNumberFormat="1" applyFont="1" applyFill="1" applyBorder="1" applyAlignment="1" applyProtection="0">
      <alignment vertical="center"/>
    </xf>
    <xf numFmtId="66" fontId="4" fillId="2" borderId="34" applyNumberFormat="1" applyFont="1" applyFill="1" applyBorder="1" applyAlignment="1" applyProtection="0">
      <alignment horizontal="center" vertical="center"/>
    </xf>
    <xf numFmtId="49" fontId="14" fillId="13" borderId="11" applyNumberFormat="1" applyFont="1" applyFill="1" applyBorder="1" applyAlignment="1" applyProtection="0">
      <alignment horizontal="center" vertical="center" wrapText="1"/>
    </xf>
    <xf numFmtId="2" fontId="23" fillId="13" borderId="47" applyNumberFormat="1" applyFont="1" applyFill="1" applyBorder="1" applyAlignment="1" applyProtection="0">
      <alignment horizontal="center" vertical="center"/>
    </xf>
    <xf numFmtId="0" fontId="0" fillId="2" borderId="48" applyNumberFormat="0" applyFont="1" applyFill="1" applyBorder="1" applyAlignment="1" applyProtection="0">
      <alignment vertical="bottom"/>
    </xf>
    <xf numFmtId="0" fontId="5" fillId="2" borderId="34" applyNumberFormat="0" applyFont="1" applyFill="1" applyBorder="1" applyAlignment="1" applyProtection="0">
      <alignment vertical="bottom"/>
    </xf>
    <xf numFmtId="0" fontId="14" fillId="2" borderId="41" applyNumberFormat="0" applyFont="1" applyFill="1" applyBorder="1" applyAlignment="1" applyProtection="0">
      <alignment horizontal="center" vertical="center" wrapText="1"/>
    </xf>
    <xf numFmtId="2" fontId="23" fillId="2" borderId="49" applyNumberFormat="1" applyFont="1" applyFill="1" applyBorder="1" applyAlignment="1" applyProtection="0">
      <alignment horizontal="center" vertical="center"/>
    </xf>
    <xf numFmtId="0" fontId="0" fillId="2" borderId="50" applyNumberFormat="0" applyFont="1" applyFill="1" applyBorder="1" applyAlignment="1" applyProtection="0">
      <alignment vertical="center"/>
    </xf>
    <xf numFmtId="49" fontId="14" fillId="8" borderId="17" applyNumberFormat="1" applyFont="1" applyFill="1" applyBorder="1" applyAlignment="1" applyProtection="0">
      <alignment vertical="bottom"/>
    </xf>
    <xf numFmtId="65" fontId="23" fillId="8" borderId="11" applyNumberFormat="1" applyFont="1" applyFill="1" applyBorder="1" applyAlignment="1" applyProtection="0">
      <alignment horizontal="center" vertical="bottom"/>
    </xf>
    <xf numFmtId="66" fontId="4" fillId="2" borderId="34" applyNumberFormat="1" applyFont="1" applyFill="1" applyBorder="1" applyAlignment="1" applyProtection="0">
      <alignment vertical="bottom"/>
    </xf>
    <xf numFmtId="65" fontId="23" fillId="8" borderId="11" applyNumberFormat="1" applyFont="1" applyFill="1" applyBorder="1" applyAlignment="1" applyProtection="0">
      <alignment horizontal="center" vertical="center"/>
    </xf>
    <xf numFmtId="66" fontId="4" fillId="2" borderId="36" applyNumberFormat="1" applyFont="1" applyFill="1" applyBorder="1" applyAlignment="1" applyProtection="0">
      <alignment horizontal="center" vertical="center"/>
    </xf>
    <xf numFmtId="67" fontId="23" fillId="8" borderId="11" applyNumberFormat="1" applyFont="1" applyFill="1" applyBorder="1" applyAlignment="1" applyProtection="0">
      <alignment horizontal="center" vertical="center"/>
    </xf>
    <xf numFmtId="59" fontId="22" fillId="2" borderId="31" applyNumberFormat="1" applyFont="1" applyFill="1" applyBorder="1" applyAlignment="1" applyProtection="0">
      <alignment horizontal="center" vertical="bottom"/>
    </xf>
    <xf numFmtId="59" fontId="22" fillId="2" borderId="34" applyNumberFormat="1" applyFont="1" applyFill="1" applyBorder="1" applyAlignment="1" applyProtection="0">
      <alignment horizontal="center" vertical="bottom"/>
    </xf>
    <xf numFmtId="59" fontId="4" fillId="2" borderId="34" applyNumberFormat="1" applyFont="1" applyFill="1" applyBorder="1" applyAlignment="1" applyProtection="0">
      <alignment horizontal="center" vertical="bottom"/>
    </xf>
    <xf numFmtId="60" fontId="0" fillId="2" borderId="34" applyNumberFormat="1" applyFont="1" applyFill="1" applyBorder="1" applyAlignment="1" applyProtection="0">
      <alignment vertical="bottom"/>
    </xf>
    <xf numFmtId="0" fontId="5" fillId="2" borderId="34" applyNumberFormat="0" applyFont="1" applyFill="1" applyBorder="1" applyAlignment="1" applyProtection="0">
      <alignment horizontal="center" vertical="bottom"/>
    </xf>
    <xf numFmtId="60" fontId="21" fillId="2" borderId="34" applyNumberFormat="1" applyFont="1" applyFill="1" applyBorder="1" applyAlignment="1" applyProtection="0">
      <alignment vertical="bottom"/>
    </xf>
    <xf numFmtId="60" fontId="5" fillId="2" borderId="34" applyNumberFormat="1" applyFont="1" applyFill="1" applyBorder="1" applyAlignment="1" applyProtection="0">
      <alignment vertical="bottom"/>
    </xf>
    <xf numFmtId="0" fontId="24" fillId="2" borderId="34" applyNumberFormat="0" applyFont="1" applyFill="1" applyBorder="1" applyAlignment="1" applyProtection="0">
      <alignment vertical="bottom"/>
    </xf>
    <xf numFmtId="0" fontId="18" fillId="2" borderId="34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7" fillId="3" borderId="51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52" applyNumberFormat="0" applyFont="1" applyFill="1" applyBorder="1" applyAlignment="1" applyProtection="0">
      <alignment vertical="bottom"/>
    </xf>
    <xf numFmtId="0" fontId="0" fillId="2" borderId="50" applyNumberFormat="0" applyFont="1" applyFill="1" applyBorder="1" applyAlignment="1" applyProtection="0">
      <alignment vertical="bottom"/>
    </xf>
    <xf numFmtId="49" fontId="0" fillId="3" borderId="53" applyNumberFormat="1" applyFont="1" applyFill="1" applyBorder="1" applyAlignment="1" applyProtection="0">
      <alignment vertical="bottom"/>
    </xf>
    <xf numFmtId="49" fontId="0" fillId="3" borderId="11" applyNumberFormat="1" applyFont="1" applyFill="1" applyBorder="1" applyAlignment="1" applyProtection="0">
      <alignment vertical="bottom"/>
    </xf>
    <xf numFmtId="49" fontId="25" fillId="3" borderId="11" applyNumberFormat="1" applyFont="1" applyFill="1" applyBorder="1" applyAlignment="1" applyProtection="0">
      <alignment vertical="bottom"/>
    </xf>
    <xf numFmtId="10" fontId="0" fillId="2" borderId="11" applyNumberFormat="1" applyFont="1" applyFill="1" applyBorder="1" applyAlignment="1" applyProtection="0">
      <alignment vertical="bottom"/>
    </xf>
    <xf numFmtId="68" fontId="0" fillId="2" borderId="11" applyNumberFormat="1" applyFont="1" applyFill="1" applyBorder="1" applyAlignment="1" applyProtection="0">
      <alignment vertical="bottom"/>
    </xf>
    <xf numFmtId="0" fontId="0" fillId="2" borderId="1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c2c9cf"/>
      <rgbColor rgb="ffced3d8"/>
      <rgbColor rgb="ffa1bfcc"/>
      <rgbColor rgb="ffdbedd5"/>
      <rgbColor rgb="ffffff00"/>
      <rgbColor rgb="fff2f2f2"/>
      <rgbColor rgb="ffe6e9eb"/>
      <rgbColor rgb="ff467886"/>
      <rgbColor rgb="ff74a67b"/>
      <rgbColor rgb="ff0070c0"/>
      <rgbColor rgb="ffffc000"/>
      <rgbColor rgb="ffffcc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9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586739</xdr:colOff>
      <xdr:row>1</xdr:row>
      <xdr:rowOff>106679</xdr:rowOff>
    </xdr:from>
    <xdr:to>
      <xdr:col>3</xdr:col>
      <xdr:colOff>769620</xdr:colOff>
      <xdr:row>5</xdr:row>
      <xdr:rowOff>76199</xdr:rowOff>
    </xdr:to>
    <xdr:grpSp>
      <xdr:nvGrpSpPr>
        <xdr:cNvPr id="4" name="Group"/>
        <xdr:cNvGrpSpPr/>
      </xdr:nvGrpSpPr>
      <xdr:grpSpPr>
        <a:xfrm>
          <a:off x="1551939" y="441959"/>
          <a:ext cx="4361182" cy="853441"/>
          <a:chOff x="0" y="0"/>
          <a:chExt cx="4361180" cy="853439"/>
        </a:xfrm>
      </xdr:grpSpPr>
      <xdr:sp>
        <xdr:nvSpPr>
          <xdr:cNvPr id="2" name="Rectangle"/>
          <xdr:cNvSpPr/>
        </xdr:nvSpPr>
        <xdr:spPr>
          <a:xfrm>
            <a:off x="0" y="0"/>
            <a:ext cx="4361181" cy="853440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3" name="image5.pdf" descr="image5.pdf"/>
          <xdr:cNvPicPr>
            <a:picLocks noChangeAspect="1"/>
          </xdr:cNvPicPr>
        </xdr:nvPicPr>
        <xdr:blipFill>
          <a:blip r:embed="rId1">
            <a:extLst/>
          </a:blip>
          <a:stretch>
            <a:fillRect/>
          </a:stretch>
        </xdr:blipFill>
        <xdr:spPr>
          <a:xfrm>
            <a:off x="0" y="0"/>
            <a:ext cx="4361181" cy="85344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4</xdr:col>
      <xdr:colOff>1013459</xdr:colOff>
      <xdr:row>2</xdr:row>
      <xdr:rowOff>144779</xdr:rowOff>
    </xdr:from>
    <xdr:to>
      <xdr:col>5</xdr:col>
      <xdr:colOff>632459</xdr:colOff>
      <xdr:row>4</xdr:row>
      <xdr:rowOff>144780</xdr:rowOff>
    </xdr:to>
    <xdr:grpSp>
      <xdr:nvGrpSpPr>
        <xdr:cNvPr id="7" name="Group"/>
        <xdr:cNvGrpSpPr/>
      </xdr:nvGrpSpPr>
      <xdr:grpSpPr>
        <a:xfrm>
          <a:off x="7071359" y="701039"/>
          <a:ext cx="1346201" cy="441961"/>
          <a:chOff x="0" y="0"/>
          <a:chExt cx="1346200" cy="441960"/>
        </a:xfrm>
      </xdr:grpSpPr>
      <xdr:sp>
        <xdr:nvSpPr>
          <xdr:cNvPr id="5" name="Rectangle"/>
          <xdr:cNvSpPr/>
        </xdr:nvSpPr>
        <xdr:spPr>
          <a:xfrm>
            <a:off x="0" y="0"/>
            <a:ext cx="1346200" cy="441961"/>
          </a:xfrm>
          <a:prstGeom prst="rect">
            <a:avLst/>
          </a:prstGeom>
          <a:solidFill>
            <a:srgbClr val="FFFF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6" name="image6.pdf" descr="image6.pdf"/>
          <xdr:cNvPicPr>
            <a:picLocks noChangeAspect="1"/>
          </xdr:cNvPicPr>
        </xdr:nvPicPr>
        <xdr:blipFill>
          <a:blip r:embed="rId2">
            <a:extLst/>
          </a:blip>
          <a:stretch>
            <a:fillRect/>
          </a:stretch>
        </xdr:blipFill>
        <xdr:spPr>
          <a:xfrm>
            <a:off x="0" y="0"/>
            <a:ext cx="1346200" cy="441961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7</xdr:col>
      <xdr:colOff>1356359</xdr:colOff>
      <xdr:row>14</xdr:row>
      <xdr:rowOff>137159</xdr:rowOff>
    </xdr:from>
    <xdr:to>
      <xdr:col>9</xdr:col>
      <xdr:colOff>1272539</xdr:colOff>
      <xdr:row>17</xdr:row>
      <xdr:rowOff>156209</xdr:rowOff>
    </xdr:to>
    <xdr:grpSp>
      <xdr:nvGrpSpPr>
        <xdr:cNvPr id="10" name="Group"/>
        <xdr:cNvGrpSpPr/>
      </xdr:nvGrpSpPr>
      <xdr:grpSpPr>
        <a:xfrm>
          <a:off x="11503659" y="4335779"/>
          <a:ext cx="3802381" cy="819151"/>
          <a:chOff x="0" y="0"/>
          <a:chExt cx="3802379" cy="819150"/>
        </a:xfrm>
      </xdr:grpSpPr>
      <xdr:sp>
        <xdr:nvSpPr>
          <xdr:cNvPr id="8" name="Rectangle"/>
          <xdr:cNvSpPr/>
        </xdr:nvSpPr>
        <xdr:spPr>
          <a:xfrm>
            <a:off x="0" y="0"/>
            <a:ext cx="3802380" cy="819150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9" name="image1.pdf" descr="image1.pdf"/>
          <xdr:cNvPicPr>
            <a:picLocks noChangeAspect="1"/>
          </xdr:cNvPicPr>
        </xdr:nvPicPr>
        <xdr:blipFill>
          <a:blip r:embed="rId3">
            <a:extLst/>
          </a:blip>
          <a:stretch>
            <a:fillRect/>
          </a:stretch>
        </xdr:blipFill>
        <xdr:spPr>
          <a:xfrm>
            <a:off x="0" y="0"/>
            <a:ext cx="3802380" cy="81915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8</xdr:col>
      <xdr:colOff>22859</xdr:colOff>
      <xdr:row>1</xdr:row>
      <xdr:rowOff>144780</xdr:rowOff>
    </xdr:from>
    <xdr:to>
      <xdr:col>9</xdr:col>
      <xdr:colOff>822960</xdr:colOff>
      <xdr:row>4</xdr:row>
      <xdr:rowOff>121919</xdr:rowOff>
    </xdr:to>
    <xdr:grpSp>
      <xdr:nvGrpSpPr>
        <xdr:cNvPr id="13" name="Group"/>
        <xdr:cNvGrpSpPr/>
      </xdr:nvGrpSpPr>
      <xdr:grpSpPr>
        <a:xfrm>
          <a:off x="11808459" y="480059"/>
          <a:ext cx="3048002" cy="640081"/>
          <a:chOff x="0" y="0"/>
          <a:chExt cx="3048000" cy="640079"/>
        </a:xfrm>
      </xdr:grpSpPr>
      <xdr:sp>
        <xdr:nvSpPr>
          <xdr:cNvPr id="11" name="Rectangle"/>
          <xdr:cNvSpPr/>
        </xdr:nvSpPr>
        <xdr:spPr>
          <a:xfrm>
            <a:off x="0" y="0"/>
            <a:ext cx="3048001" cy="640080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12" name="image7.pdf" descr="image7.pdf"/>
          <xdr:cNvPicPr>
            <a:picLocks noChangeAspect="1"/>
          </xdr:cNvPicPr>
        </xdr:nvPicPr>
        <xdr:blipFill>
          <a:blip r:embed="rId4">
            <a:extLst/>
          </a:blip>
          <a:stretch>
            <a:fillRect/>
          </a:stretch>
        </xdr:blipFill>
        <xdr:spPr>
          <a:xfrm>
            <a:off x="0" y="0"/>
            <a:ext cx="3048001" cy="64008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8</xdr:col>
      <xdr:colOff>22859</xdr:colOff>
      <xdr:row>5</xdr:row>
      <xdr:rowOff>15239</xdr:rowOff>
    </xdr:from>
    <xdr:to>
      <xdr:col>9</xdr:col>
      <xdr:colOff>1280160</xdr:colOff>
      <xdr:row>6</xdr:row>
      <xdr:rowOff>198120</xdr:rowOff>
    </xdr:to>
    <xdr:grpSp>
      <xdr:nvGrpSpPr>
        <xdr:cNvPr id="16" name="Group"/>
        <xdr:cNvGrpSpPr/>
      </xdr:nvGrpSpPr>
      <xdr:grpSpPr>
        <a:xfrm>
          <a:off x="11808459" y="1234439"/>
          <a:ext cx="3505202" cy="403861"/>
          <a:chOff x="0" y="0"/>
          <a:chExt cx="3505200" cy="403860"/>
        </a:xfrm>
      </xdr:grpSpPr>
      <xdr:sp>
        <xdr:nvSpPr>
          <xdr:cNvPr id="14" name="Rectangle"/>
          <xdr:cNvSpPr/>
        </xdr:nvSpPr>
        <xdr:spPr>
          <a:xfrm>
            <a:off x="0" y="0"/>
            <a:ext cx="3505201" cy="403861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15" name="image8.pdf" descr="image8.pdf"/>
          <xdr:cNvPicPr>
            <a:picLocks noChangeAspect="1"/>
          </xdr:cNvPicPr>
        </xdr:nvPicPr>
        <xdr:blipFill>
          <a:blip r:embed="rId5">
            <a:extLst/>
          </a:blip>
          <a:stretch>
            <a:fillRect/>
          </a:stretch>
        </xdr:blipFill>
        <xdr:spPr>
          <a:xfrm>
            <a:off x="0" y="0"/>
            <a:ext cx="3505201" cy="403861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4</xdr:col>
      <xdr:colOff>60959</xdr:colOff>
      <xdr:row>23</xdr:row>
      <xdr:rowOff>22859</xdr:rowOff>
    </xdr:from>
    <xdr:to>
      <xdr:col>7</xdr:col>
      <xdr:colOff>182880</xdr:colOff>
      <xdr:row>23</xdr:row>
      <xdr:rowOff>906780</xdr:rowOff>
    </xdr:to>
    <xdr:grpSp>
      <xdr:nvGrpSpPr>
        <xdr:cNvPr id="19" name="Group"/>
        <xdr:cNvGrpSpPr/>
      </xdr:nvGrpSpPr>
      <xdr:grpSpPr>
        <a:xfrm>
          <a:off x="6118859" y="7459979"/>
          <a:ext cx="4211322" cy="883921"/>
          <a:chOff x="0" y="0"/>
          <a:chExt cx="4211320" cy="883920"/>
        </a:xfrm>
      </xdr:grpSpPr>
      <xdr:sp>
        <xdr:nvSpPr>
          <xdr:cNvPr id="17" name="Rectangle"/>
          <xdr:cNvSpPr/>
        </xdr:nvSpPr>
        <xdr:spPr>
          <a:xfrm>
            <a:off x="0" y="0"/>
            <a:ext cx="4211321" cy="883921"/>
          </a:xfrm>
          <a:prstGeom prst="rect">
            <a:avLst/>
          </a:prstGeom>
          <a:solidFill>
            <a:srgbClr val="FFCC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18" name="image2.pdf" descr="image2.pdf"/>
          <xdr:cNvPicPr>
            <a:picLocks noChangeAspect="1"/>
          </xdr:cNvPicPr>
        </xdr:nvPicPr>
        <xdr:blipFill>
          <a:blip r:embed="rId6">
            <a:extLst/>
          </a:blip>
          <a:stretch>
            <a:fillRect/>
          </a:stretch>
        </xdr:blipFill>
        <xdr:spPr>
          <a:xfrm>
            <a:off x="0" y="0"/>
            <a:ext cx="4211321" cy="883921"/>
          </a:xfrm>
          <a:prstGeom prst="rect">
            <a:avLst/>
          </a:prstGeom>
          <a:ln w="12700" cap="flat">
            <a:noFill/>
            <a:miter lim="400000"/>
          </a:ln>
          <a:effectLst/>
        </xdr:spPr>
      </xdr:pic>
    </xdr:grpSp>
    <xdr:clientData/>
  </xdr:twoCellAnchor>
  <xdr:twoCellAnchor>
    <xdr:from>
      <xdr:col>4</xdr:col>
      <xdr:colOff>60959</xdr:colOff>
      <xdr:row>24</xdr:row>
      <xdr:rowOff>205740</xdr:rowOff>
    </xdr:from>
    <xdr:to>
      <xdr:col>7</xdr:col>
      <xdr:colOff>7619</xdr:colOff>
      <xdr:row>29</xdr:row>
      <xdr:rowOff>99058</xdr:rowOff>
    </xdr:to>
    <xdr:grpSp>
      <xdr:nvGrpSpPr>
        <xdr:cNvPr id="22" name="Group"/>
        <xdr:cNvGrpSpPr/>
      </xdr:nvGrpSpPr>
      <xdr:grpSpPr>
        <a:xfrm>
          <a:off x="6118859" y="8648700"/>
          <a:ext cx="4036061" cy="1722119"/>
          <a:chOff x="0" y="0"/>
          <a:chExt cx="4036059" cy="1722118"/>
        </a:xfrm>
      </xdr:grpSpPr>
      <xdr:sp>
        <xdr:nvSpPr>
          <xdr:cNvPr id="20" name="Rectangle"/>
          <xdr:cNvSpPr/>
        </xdr:nvSpPr>
        <xdr:spPr>
          <a:xfrm>
            <a:off x="0" y="0"/>
            <a:ext cx="4036060" cy="1722119"/>
          </a:xfrm>
          <a:prstGeom prst="rect">
            <a:avLst/>
          </a:prstGeom>
          <a:solidFill>
            <a:srgbClr val="FFFF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21" name="image3.pdf" descr="image3.pdf"/>
          <xdr:cNvPicPr>
            <a:picLocks noChangeAspect="1"/>
          </xdr:cNvPicPr>
        </xdr:nvPicPr>
        <xdr:blipFill>
          <a:blip r:embed="rId7">
            <a:extLst/>
          </a:blip>
          <a:stretch>
            <a:fillRect/>
          </a:stretch>
        </xdr:blipFill>
        <xdr:spPr>
          <a:xfrm>
            <a:off x="0" y="0"/>
            <a:ext cx="4036060" cy="1722119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4</xdr:col>
      <xdr:colOff>99059</xdr:colOff>
      <xdr:row>22</xdr:row>
      <xdr:rowOff>53340</xdr:rowOff>
    </xdr:from>
    <xdr:to>
      <xdr:col>8</xdr:col>
      <xdr:colOff>548640</xdr:colOff>
      <xdr:row>22</xdr:row>
      <xdr:rowOff>815339</xdr:rowOff>
    </xdr:to>
    <xdr:grpSp>
      <xdr:nvGrpSpPr>
        <xdr:cNvPr id="25" name="Group"/>
        <xdr:cNvGrpSpPr/>
      </xdr:nvGrpSpPr>
      <xdr:grpSpPr>
        <a:xfrm>
          <a:off x="6156959" y="6484620"/>
          <a:ext cx="6177282" cy="762000"/>
          <a:chOff x="0" y="0"/>
          <a:chExt cx="6177280" cy="761999"/>
        </a:xfrm>
      </xdr:grpSpPr>
      <xdr:sp>
        <xdr:nvSpPr>
          <xdr:cNvPr id="23" name="Rectangle"/>
          <xdr:cNvSpPr/>
        </xdr:nvSpPr>
        <xdr:spPr>
          <a:xfrm>
            <a:off x="0" y="0"/>
            <a:ext cx="6177281" cy="762000"/>
          </a:xfrm>
          <a:prstGeom prst="rect">
            <a:avLst/>
          </a:prstGeom>
          <a:solidFill>
            <a:srgbClr val="FFFF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24" name="image4.pdf" descr="image4.pdf"/>
          <xdr:cNvPicPr>
            <a:picLocks noChangeAspect="1"/>
          </xdr:cNvPicPr>
        </xdr:nvPicPr>
        <xdr:blipFill>
          <a:blip r:embed="rId8">
            <a:extLst/>
          </a:blip>
          <a:stretch>
            <a:fillRect/>
          </a:stretch>
        </xdr:blipFill>
        <xdr:spPr>
          <a:xfrm>
            <a:off x="0" y="0"/>
            <a:ext cx="6177281" cy="76200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586739</xdr:colOff>
      <xdr:row>1</xdr:row>
      <xdr:rowOff>106679</xdr:rowOff>
    </xdr:from>
    <xdr:to>
      <xdr:col>3</xdr:col>
      <xdr:colOff>769620</xdr:colOff>
      <xdr:row>5</xdr:row>
      <xdr:rowOff>76199</xdr:rowOff>
    </xdr:to>
    <xdr:grpSp>
      <xdr:nvGrpSpPr>
        <xdr:cNvPr id="29" name="Group"/>
        <xdr:cNvGrpSpPr/>
      </xdr:nvGrpSpPr>
      <xdr:grpSpPr>
        <a:xfrm>
          <a:off x="1551939" y="441959"/>
          <a:ext cx="4361182" cy="853441"/>
          <a:chOff x="0" y="0"/>
          <a:chExt cx="4361180" cy="853439"/>
        </a:xfrm>
      </xdr:grpSpPr>
      <xdr:sp>
        <xdr:nvSpPr>
          <xdr:cNvPr id="27" name="Rectangle"/>
          <xdr:cNvSpPr/>
        </xdr:nvSpPr>
        <xdr:spPr>
          <a:xfrm>
            <a:off x="0" y="0"/>
            <a:ext cx="4361181" cy="853440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28" name="image5.pdf" descr="image5.pdf"/>
          <xdr:cNvPicPr>
            <a:picLocks noChangeAspect="1"/>
          </xdr:cNvPicPr>
        </xdr:nvPicPr>
        <xdr:blipFill>
          <a:blip r:embed="rId1">
            <a:extLst/>
          </a:blip>
          <a:stretch>
            <a:fillRect/>
          </a:stretch>
        </xdr:blipFill>
        <xdr:spPr>
          <a:xfrm>
            <a:off x="0" y="0"/>
            <a:ext cx="4361181" cy="85344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4</xdr:col>
      <xdr:colOff>1013459</xdr:colOff>
      <xdr:row>2</xdr:row>
      <xdr:rowOff>144779</xdr:rowOff>
    </xdr:from>
    <xdr:to>
      <xdr:col>5</xdr:col>
      <xdr:colOff>632459</xdr:colOff>
      <xdr:row>4</xdr:row>
      <xdr:rowOff>144780</xdr:rowOff>
    </xdr:to>
    <xdr:grpSp>
      <xdr:nvGrpSpPr>
        <xdr:cNvPr id="32" name="Group"/>
        <xdr:cNvGrpSpPr/>
      </xdr:nvGrpSpPr>
      <xdr:grpSpPr>
        <a:xfrm>
          <a:off x="7071359" y="701039"/>
          <a:ext cx="1346201" cy="441961"/>
          <a:chOff x="0" y="0"/>
          <a:chExt cx="1346200" cy="441960"/>
        </a:xfrm>
      </xdr:grpSpPr>
      <xdr:sp>
        <xdr:nvSpPr>
          <xdr:cNvPr id="30" name="Rectangle"/>
          <xdr:cNvSpPr/>
        </xdr:nvSpPr>
        <xdr:spPr>
          <a:xfrm>
            <a:off x="0" y="0"/>
            <a:ext cx="1346200" cy="441961"/>
          </a:xfrm>
          <a:prstGeom prst="rect">
            <a:avLst/>
          </a:prstGeom>
          <a:solidFill>
            <a:srgbClr val="FFFF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31" name="image6.pdf" descr="image6.pdf"/>
          <xdr:cNvPicPr>
            <a:picLocks noChangeAspect="1"/>
          </xdr:cNvPicPr>
        </xdr:nvPicPr>
        <xdr:blipFill>
          <a:blip r:embed="rId2">
            <a:extLst/>
          </a:blip>
          <a:stretch>
            <a:fillRect/>
          </a:stretch>
        </xdr:blipFill>
        <xdr:spPr>
          <a:xfrm>
            <a:off x="0" y="0"/>
            <a:ext cx="1346200" cy="441961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7</xdr:col>
      <xdr:colOff>1356359</xdr:colOff>
      <xdr:row>14</xdr:row>
      <xdr:rowOff>137159</xdr:rowOff>
    </xdr:from>
    <xdr:to>
      <xdr:col>9</xdr:col>
      <xdr:colOff>1272539</xdr:colOff>
      <xdr:row>17</xdr:row>
      <xdr:rowOff>156209</xdr:rowOff>
    </xdr:to>
    <xdr:grpSp>
      <xdr:nvGrpSpPr>
        <xdr:cNvPr id="35" name="Group"/>
        <xdr:cNvGrpSpPr/>
      </xdr:nvGrpSpPr>
      <xdr:grpSpPr>
        <a:xfrm>
          <a:off x="11503659" y="4335779"/>
          <a:ext cx="3802381" cy="819151"/>
          <a:chOff x="0" y="0"/>
          <a:chExt cx="3802379" cy="819150"/>
        </a:xfrm>
      </xdr:grpSpPr>
      <xdr:sp>
        <xdr:nvSpPr>
          <xdr:cNvPr id="33" name="Rectangle"/>
          <xdr:cNvSpPr/>
        </xdr:nvSpPr>
        <xdr:spPr>
          <a:xfrm>
            <a:off x="0" y="0"/>
            <a:ext cx="3802380" cy="819150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34" name="image1.pdf" descr="image1.pdf"/>
          <xdr:cNvPicPr>
            <a:picLocks noChangeAspect="1"/>
          </xdr:cNvPicPr>
        </xdr:nvPicPr>
        <xdr:blipFill>
          <a:blip r:embed="rId3">
            <a:extLst/>
          </a:blip>
          <a:stretch>
            <a:fillRect/>
          </a:stretch>
        </xdr:blipFill>
        <xdr:spPr>
          <a:xfrm>
            <a:off x="0" y="0"/>
            <a:ext cx="3802380" cy="81915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8</xdr:col>
      <xdr:colOff>22859</xdr:colOff>
      <xdr:row>1</xdr:row>
      <xdr:rowOff>144780</xdr:rowOff>
    </xdr:from>
    <xdr:to>
      <xdr:col>9</xdr:col>
      <xdr:colOff>822960</xdr:colOff>
      <xdr:row>4</xdr:row>
      <xdr:rowOff>121919</xdr:rowOff>
    </xdr:to>
    <xdr:grpSp>
      <xdr:nvGrpSpPr>
        <xdr:cNvPr id="38" name="Group"/>
        <xdr:cNvGrpSpPr/>
      </xdr:nvGrpSpPr>
      <xdr:grpSpPr>
        <a:xfrm>
          <a:off x="11808459" y="480059"/>
          <a:ext cx="3048002" cy="640081"/>
          <a:chOff x="0" y="0"/>
          <a:chExt cx="3048000" cy="640079"/>
        </a:xfrm>
      </xdr:grpSpPr>
      <xdr:sp>
        <xdr:nvSpPr>
          <xdr:cNvPr id="36" name="Rectangle"/>
          <xdr:cNvSpPr/>
        </xdr:nvSpPr>
        <xdr:spPr>
          <a:xfrm>
            <a:off x="0" y="0"/>
            <a:ext cx="3048001" cy="640080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37" name="image7.pdf" descr="image7.pdf"/>
          <xdr:cNvPicPr>
            <a:picLocks noChangeAspect="1"/>
          </xdr:cNvPicPr>
        </xdr:nvPicPr>
        <xdr:blipFill>
          <a:blip r:embed="rId4">
            <a:extLst/>
          </a:blip>
          <a:stretch>
            <a:fillRect/>
          </a:stretch>
        </xdr:blipFill>
        <xdr:spPr>
          <a:xfrm>
            <a:off x="0" y="0"/>
            <a:ext cx="3048001" cy="64008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8</xdr:col>
      <xdr:colOff>22859</xdr:colOff>
      <xdr:row>5</xdr:row>
      <xdr:rowOff>15239</xdr:rowOff>
    </xdr:from>
    <xdr:to>
      <xdr:col>9</xdr:col>
      <xdr:colOff>1280160</xdr:colOff>
      <xdr:row>6</xdr:row>
      <xdr:rowOff>198120</xdr:rowOff>
    </xdr:to>
    <xdr:grpSp>
      <xdr:nvGrpSpPr>
        <xdr:cNvPr id="41" name="Group"/>
        <xdr:cNvGrpSpPr/>
      </xdr:nvGrpSpPr>
      <xdr:grpSpPr>
        <a:xfrm>
          <a:off x="11808459" y="1234439"/>
          <a:ext cx="3505202" cy="403861"/>
          <a:chOff x="0" y="0"/>
          <a:chExt cx="3505200" cy="403860"/>
        </a:xfrm>
      </xdr:grpSpPr>
      <xdr:sp>
        <xdr:nvSpPr>
          <xdr:cNvPr id="39" name="Rectangle"/>
          <xdr:cNvSpPr/>
        </xdr:nvSpPr>
        <xdr:spPr>
          <a:xfrm>
            <a:off x="0" y="0"/>
            <a:ext cx="3505201" cy="403861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40" name="image8.pdf" descr="image8.pdf"/>
          <xdr:cNvPicPr>
            <a:picLocks noChangeAspect="1"/>
          </xdr:cNvPicPr>
        </xdr:nvPicPr>
        <xdr:blipFill>
          <a:blip r:embed="rId5">
            <a:extLst/>
          </a:blip>
          <a:stretch>
            <a:fillRect/>
          </a:stretch>
        </xdr:blipFill>
        <xdr:spPr>
          <a:xfrm>
            <a:off x="0" y="0"/>
            <a:ext cx="3505201" cy="403861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4</xdr:col>
      <xdr:colOff>60959</xdr:colOff>
      <xdr:row>23</xdr:row>
      <xdr:rowOff>22859</xdr:rowOff>
    </xdr:from>
    <xdr:to>
      <xdr:col>7</xdr:col>
      <xdr:colOff>182880</xdr:colOff>
      <xdr:row>23</xdr:row>
      <xdr:rowOff>906780</xdr:rowOff>
    </xdr:to>
    <xdr:grpSp>
      <xdr:nvGrpSpPr>
        <xdr:cNvPr id="44" name="Group"/>
        <xdr:cNvGrpSpPr/>
      </xdr:nvGrpSpPr>
      <xdr:grpSpPr>
        <a:xfrm>
          <a:off x="6118859" y="7459979"/>
          <a:ext cx="4211322" cy="883921"/>
          <a:chOff x="0" y="0"/>
          <a:chExt cx="4211320" cy="883920"/>
        </a:xfrm>
      </xdr:grpSpPr>
      <xdr:sp>
        <xdr:nvSpPr>
          <xdr:cNvPr id="42" name="Rectangle"/>
          <xdr:cNvSpPr/>
        </xdr:nvSpPr>
        <xdr:spPr>
          <a:xfrm>
            <a:off x="0" y="0"/>
            <a:ext cx="4211321" cy="883921"/>
          </a:xfrm>
          <a:prstGeom prst="rect">
            <a:avLst/>
          </a:prstGeom>
          <a:solidFill>
            <a:srgbClr val="FFCC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43" name="image2.pdf" descr="image2.pdf"/>
          <xdr:cNvPicPr>
            <a:picLocks noChangeAspect="1"/>
          </xdr:cNvPicPr>
        </xdr:nvPicPr>
        <xdr:blipFill>
          <a:blip r:embed="rId6">
            <a:extLst/>
          </a:blip>
          <a:stretch>
            <a:fillRect/>
          </a:stretch>
        </xdr:blipFill>
        <xdr:spPr>
          <a:xfrm>
            <a:off x="0" y="0"/>
            <a:ext cx="4211321" cy="883921"/>
          </a:xfrm>
          <a:prstGeom prst="rect">
            <a:avLst/>
          </a:prstGeom>
          <a:ln w="12700" cap="flat">
            <a:noFill/>
            <a:miter lim="400000"/>
          </a:ln>
          <a:effectLst/>
        </xdr:spPr>
      </xdr:pic>
    </xdr:grpSp>
    <xdr:clientData/>
  </xdr:twoCellAnchor>
  <xdr:twoCellAnchor>
    <xdr:from>
      <xdr:col>4</xdr:col>
      <xdr:colOff>60959</xdr:colOff>
      <xdr:row>24</xdr:row>
      <xdr:rowOff>205740</xdr:rowOff>
    </xdr:from>
    <xdr:to>
      <xdr:col>7</xdr:col>
      <xdr:colOff>7619</xdr:colOff>
      <xdr:row>29</xdr:row>
      <xdr:rowOff>99058</xdr:rowOff>
    </xdr:to>
    <xdr:grpSp>
      <xdr:nvGrpSpPr>
        <xdr:cNvPr id="47" name="Group"/>
        <xdr:cNvGrpSpPr/>
      </xdr:nvGrpSpPr>
      <xdr:grpSpPr>
        <a:xfrm>
          <a:off x="6118859" y="8648700"/>
          <a:ext cx="4036061" cy="1722119"/>
          <a:chOff x="0" y="0"/>
          <a:chExt cx="4036059" cy="1722118"/>
        </a:xfrm>
      </xdr:grpSpPr>
      <xdr:sp>
        <xdr:nvSpPr>
          <xdr:cNvPr id="45" name="Rectangle"/>
          <xdr:cNvSpPr/>
        </xdr:nvSpPr>
        <xdr:spPr>
          <a:xfrm>
            <a:off x="0" y="0"/>
            <a:ext cx="4036060" cy="1722119"/>
          </a:xfrm>
          <a:prstGeom prst="rect">
            <a:avLst/>
          </a:prstGeom>
          <a:solidFill>
            <a:srgbClr val="FFFF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46" name="image3.pdf" descr="image3.pdf"/>
          <xdr:cNvPicPr>
            <a:picLocks noChangeAspect="1"/>
          </xdr:cNvPicPr>
        </xdr:nvPicPr>
        <xdr:blipFill>
          <a:blip r:embed="rId7">
            <a:extLst/>
          </a:blip>
          <a:stretch>
            <a:fillRect/>
          </a:stretch>
        </xdr:blipFill>
        <xdr:spPr>
          <a:xfrm>
            <a:off x="0" y="0"/>
            <a:ext cx="4036060" cy="1722119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4</xdr:col>
      <xdr:colOff>99059</xdr:colOff>
      <xdr:row>22</xdr:row>
      <xdr:rowOff>53340</xdr:rowOff>
    </xdr:from>
    <xdr:to>
      <xdr:col>8</xdr:col>
      <xdr:colOff>548640</xdr:colOff>
      <xdr:row>22</xdr:row>
      <xdr:rowOff>815339</xdr:rowOff>
    </xdr:to>
    <xdr:grpSp>
      <xdr:nvGrpSpPr>
        <xdr:cNvPr id="50" name="Group"/>
        <xdr:cNvGrpSpPr/>
      </xdr:nvGrpSpPr>
      <xdr:grpSpPr>
        <a:xfrm>
          <a:off x="6156959" y="6484620"/>
          <a:ext cx="6177282" cy="762000"/>
          <a:chOff x="0" y="0"/>
          <a:chExt cx="6177280" cy="761999"/>
        </a:xfrm>
      </xdr:grpSpPr>
      <xdr:sp>
        <xdr:nvSpPr>
          <xdr:cNvPr id="48" name="Rectangle"/>
          <xdr:cNvSpPr/>
        </xdr:nvSpPr>
        <xdr:spPr>
          <a:xfrm>
            <a:off x="0" y="0"/>
            <a:ext cx="6177281" cy="762000"/>
          </a:xfrm>
          <a:prstGeom prst="rect">
            <a:avLst/>
          </a:prstGeom>
          <a:solidFill>
            <a:srgbClr val="FFFF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49" name="image4.pdf" descr="image4.pdf"/>
          <xdr:cNvPicPr>
            <a:picLocks noChangeAspect="1"/>
          </xdr:cNvPicPr>
        </xdr:nvPicPr>
        <xdr:blipFill>
          <a:blip r:embed="rId8">
            <a:extLst/>
          </a:blip>
          <a:stretch>
            <a:fillRect/>
          </a:stretch>
        </xdr:blipFill>
        <xdr:spPr>
          <a:xfrm>
            <a:off x="0" y="0"/>
            <a:ext cx="6177281" cy="76200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586739</xdr:colOff>
      <xdr:row>1</xdr:row>
      <xdr:rowOff>106679</xdr:rowOff>
    </xdr:from>
    <xdr:to>
      <xdr:col>3</xdr:col>
      <xdr:colOff>769620</xdr:colOff>
      <xdr:row>5</xdr:row>
      <xdr:rowOff>76199</xdr:rowOff>
    </xdr:to>
    <xdr:grpSp>
      <xdr:nvGrpSpPr>
        <xdr:cNvPr id="54" name="Group"/>
        <xdr:cNvGrpSpPr/>
      </xdr:nvGrpSpPr>
      <xdr:grpSpPr>
        <a:xfrm>
          <a:off x="1551939" y="441959"/>
          <a:ext cx="4361182" cy="853441"/>
          <a:chOff x="0" y="0"/>
          <a:chExt cx="4361180" cy="853439"/>
        </a:xfrm>
      </xdr:grpSpPr>
      <xdr:sp>
        <xdr:nvSpPr>
          <xdr:cNvPr id="52" name="Rectangle"/>
          <xdr:cNvSpPr/>
        </xdr:nvSpPr>
        <xdr:spPr>
          <a:xfrm>
            <a:off x="0" y="0"/>
            <a:ext cx="4361181" cy="853440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53" name="image5.pdf" descr="image5.pdf"/>
          <xdr:cNvPicPr>
            <a:picLocks noChangeAspect="1"/>
          </xdr:cNvPicPr>
        </xdr:nvPicPr>
        <xdr:blipFill>
          <a:blip r:embed="rId1">
            <a:extLst/>
          </a:blip>
          <a:stretch>
            <a:fillRect/>
          </a:stretch>
        </xdr:blipFill>
        <xdr:spPr>
          <a:xfrm>
            <a:off x="0" y="0"/>
            <a:ext cx="4361181" cy="85344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4</xdr:col>
      <xdr:colOff>1013459</xdr:colOff>
      <xdr:row>2</xdr:row>
      <xdr:rowOff>144779</xdr:rowOff>
    </xdr:from>
    <xdr:to>
      <xdr:col>5</xdr:col>
      <xdr:colOff>632459</xdr:colOff>
      <xdr:row>4</xdr:row>
      <xdr:rowOff>144780</xdr:rowOff>
    </xdr:to>
    <xdr:grpSp>
      <xdr:nvGrpSpPr>
        <xdr:cNvPr id="57" name="Group"/>
        <xdr:cNvGrpSpPr/>
      </xdr:nvGrpSpPr>
      <xdr:grpSpPr>
        <a:xfrm>
          <a:off x="7071359" y="701039"/>
          <a:ext cx="1346201" cy="441961"/>
          <a:chOff x="0" y="0"/>
          <a:chExt cx="1346200" cy="441960"/>
        </a:xfrm>
      </xdr:grpSpPr>
      <xdr:sp>
        <xdr:nvSpPr>
          <xdr:cNvPr id="55" name="Rectangle"/>
          <xdr:cNvSpPr/>
        </xdr:nvSpPr>
        <xdr:spPr>
          <a:xfrm>
            <a:off x="0" y="0"/>
            <a:ext cx="1346200" cy="441961"/>
          </a:xfrm>
          <a:prstGeom prst="rect">
            <a:avLst/>
          </a:prstGeom>
          <a:solidFill>
            <a:srgbClr val="FFFF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56" name="image6.pdf" descr="image6.pdf"/>
          <xdr:cNvPicPr>
            <a:picLocks noChangeAspect="1"/>
          </xdr:cNvPicPr>
        </xdr:nvPicPr>
        <xdr:blipFill>
          <a:blip r:embed="rId2">
            <a:extLst/>
          </a:blip>
          <a:stretch>
            <a:fillRect/>
          </a:stretch>
        </xdr:blipFill>
        <xdr:spPr>
          <a:xfrm>
            <a:off x="0" y="0"/>
            <a:ext cx="1346200" cy="441961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7</xdr:col>
      <xdr:colOff>1356359</xdr:colOff>
      <xdr:row>14</xdr:row>
      <xdr:rowOff>137159</xdr:rowOff>
    </xdr:from>
    <xdr:to>
      <xdr:col>9</xdr:col>
      <xdr:colOff>1272539</xdr:colOff>
      <xdr:row>17</xdr:row>
      <xdr:rowOff>156209</xdr:rowOff>
    </xdr:to>
    <xdr:grpSp>
      <xdr:nvGrpSpPr>
        <xdr:cNvPr id="60" name="Group"/>
        <xdr:cNvGrpSpPr/>
      </xdr:nvGrpSpPr>
      <xdr:grpSpPr>
        <a:xfrm>
          <a:off x="11503659" y="4335779"/>
          <a:ext cx="3802381" cy="819151"/>
          <a:chOff x="0" y="0"/>
          <a:chExt cx="3802379" cy="819150"/>
        </a:xfrm>
      </xdr:grpSpPr>
      <xdr:sp>
        <xdr:nvSpPr>
          <xdr:cNvPr id="58" name="Rectangle"/>
          <xdr:cNvSpPr/>
        </xdr:nvSpPr>
        <xdr:spPr>
          <a:xfrm>
            <a:off x="0" y="0"/>
            <a:ext cx="3802380" cy="819150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59" name="image1.pdf" descr="image1.pdf"/>
          <xdr:cNvPicPr>
            <a:picLocks noChangeAspect="1"/>
          </xdr:cNvPicPr>
        </xdr:nvPicPr>
        <xdr:blipFill>
          <a:blip r:embed="rId3">
            <a:extLst/>
          </a:blip>
          <a:stretch>
            <a:fillRect/>
          </a:stretch>
        </xdr:blipFill>
        <xdr:spPr>
          <a:xfrm>
            <a:off x="0" y="0"/>
            <a:ext cx="3802380" cy="81915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8</xdr:col>
      <xdr:colOff>22859</xdr:colOff>
      <xdr:row>1</xdr:row>
      <xdr:rowOff>144780</xdr:rowOff>
    </xdr:from>
    <xdr:to>
      <xdr:col>9</xdr:col>
      <xdr:colOff>822960</xdr:colOff>
      <xdr:row>4</xdr:row>
      <xdr:rowOff>121919</xdr:rowOff>
    </xdr:to>
    <xdr:grpSp>
      <xdr:nvGrpSpPr>
        <xdr:cNvPr id="63" name="Group"/>
        <xdr:cNvGrpSpPr/>
      </xdr:nvGrpSpPr>
      <xdr:grpSpPr>
        <a:xfrm>
          <a:off x="11808459" y="480059"/>
          <a:ext cx="3048002" cy="640081"/>
          <a:chOff x="0" y="0"/>
          <a:chExt cx="3048000" cy="640079"/>
        </a:xfrm>
      </xdr:grpSpPr>
      <xdr:sp>
        <xdr:nvSpPr>
          <xdr:cNvPr id="61" name="Rectangle"/>
          <xdr:cNvSpPr/>
        </xdr:nvSpPr>
        <xdr:spPr>
          <a:xfrm>
            <a:off x="0" y="0"/>
            <a:ext cx="3048001" cy="640080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62" name="image7.pdf" descr="image7.pdf"/>
          <xdr:cNvPicPr>
            <a:picLocks noChangeAspect="1"/>
          </xdr:cNvPicPr>
        </xdr:nvPicPr>
        <xdr:blipFill>
          <a:blip r:embed="rId4">
            <a:extLst/>
          </a:blip>
          <a:stretch>
            <a:fillRect/>
          </a:stretch>
        </xdr:blipFill>
        <xdr:spPr>
          <a:xfrm>
            <a:off x="0" y="0"/>
            <a:ext cx="3048001" cy="64008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8</xdr:col>
      <xdr:colOff>22859</xdr:colOff>
      <xdr:row>5</xdr:row>
      <xdr:rowOff>15239</xdr:rowOff>
    </xdr:from>
    <xdr:to>
      <xdr:col>9</xdr:col>
      <xdr:colOff>1280160</xdr:colOff>
      <xdr:row>6</xdr:row>
      <xdr:rowOff>198120</xdr:rowOff>
    </xdr:to>
    <xdr:grpSp>
      <xdr:nvGrpSpPr>
        <xdr:cNvPr id="66" name="Group"/>
        <xdr:cNvGrpSpPr/>
      </xdr:nvGrpSpPr>
      <xdr:grpSpPr>
        <a:xfrm>
          <a:off x="11808459" y="1234439"/>
          <a:ext cx="3505202" cy="403861"/>
          <a:chOff x="0" y="0"/>
          <a:chExt cx="3505200" cy="403860"/>
        </a:xfrm>
      </xdr:grpSpPr>
      <xdr:sp>
        <xdr:nvSpPr>
          <xdr:cNvPr id="64" name="Rectangle"/>
          <xdr:cNvSpPr/>
        </xdr:nvSpPr>
        <xdr:spPr>
          <a:xfrm>
            <a:off x="0" y="0"/>
            <a:ext cx="3505201" cy="403861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65" name="image8.pdf" descr="image8.pdf"/>
          <xdr:cNvPicPr>
            <a:picLocks noChangeAspect="1"/>
          </xdr:cNvPicPr>
        </xdr:nvPicPr>
        <xdr:blipFill>
          <a:blip r:embed="rId5">
            <a:extLst/>
          </a:blip>
          <a:stretch>
            <a:fillRect/>
          </a:stretch>
        </xdr:blipFill>
        <xdr:spPr>
          <a:xfrm>
            <a:off x="0" y="0"/>
            <a:ext cx="3505201" cy="403861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4</xdr:col>
      <xdr:colOff>60959</xdr:colOff>
      <xdr:row>23</xdr:row>
      <xdr:rowOff>22859</xdr:rowOff>
    </xdr:from>
    <xdr:to>
      <xdr:col>7</xdr:col>
      <xdr:colOff>182880</xdr:colOff>
      <xdr:row>23</xdr:row>
      <xdr:rowOff>906780</xdr:rowOff>
    </xdr:to>
    <xdr:grpSp>
      <xdr:nvGrpSpPr>
        <xdr:cNvPr id="69" name="Group"/>
        <xdr:cNvGrpSpPr/>
      </xdr:nvGrpSpPr>
      <xdr:grpSpPr>
        <a:xfrm>
          <a:off x="6118859" y="7459979"/>
          <a:ext cx="4211322" cy="883921"/>
          <a:chOff x="0" y="0"/>
          <a:chExt cx="4211320" cy="883920"/>
        </a:xfrm>
      </xdr:grpSpPr>
      <xdr:sp>
        <xdr:nvSpPr>
          <xdr:cNvPr id="67" name="Rectangle"/>
          <xdr:cNvSpPr/>
        </xdr:nvSpPr>
        <xdr:spPr>
          <a:xfrm>
            <a:off x="0" y="0"/>
            <a:ext cx="4211321" cy="883921"/>
          </a:xfrm>
          <a:prstGeom prst="rect">
            <a:avLst/>
          </a:prstGeom>
          <a:solidFill>
            <a:srgbClr val="FFCC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68" name="image2.pdf" descr="image2.pdf"/>
          <xdr:cNvPicPr>
            <a:picLocks noChangeAspect="1"/>
          </xdr:cNvPicPr>
        </xdr:nvPicPr>
        <xdr:blipFill>
          <a:blip r:embed="rId6">
            <a:extLst/>
          </a:blip>
          <a:stretch>
            <a:fillRect/>
          </a:stretch>
        </xdr:blipFill>
        <xdr:spPr>
          <a:xfrm>
            <a:off x="0" y="0"/>
            <a:ext cx="4211321" cy="883921"/>
          </a:xfrm>
          <a:prstGeom prst="rect">
            <a:avLst/>
          </a:prstGeom>
          <a:ln w="12700" cap="flat">
            <a:noFill/>
            <a:miter lim="400000"/>
          </a:ln>
          <a:effectLst/>
        </xdr:spPr>
      </xdr:pic>
    </xdr:grpSp>
    <xdr:clientData/>
  </xdr:twoCellAnchor>
  <xdr:twoCellAnchor>
    <xdr:from>
      <xdr:col>4</xdr:col>
      <xdr:colOff>60959</xdr:colOff>
      <xdr:row>24</xdr:row>
      <xdr:rowOff>205740</xdr:rowOff>
    </xdr:from>
    <xdr:to>
      <xdr:col>7</xdr:col>
      <xdr:colOff>7619</xdr:colOff>
      <xdr:row>29</xdr:row>
      <xdr:rowOff>99058</xdr:rowOff>
    </xdr:to>
    <xdr:grpSp>
      <xdr:nvGrpSpPr>
        <xdr:cNvPr id="72" name="Group"/>
        <xdr:cNvGrpSpPr/>
      </xdr:nvGrpSpPr>
      <xdr:grpSpPr>
        <a:xfrm>
          <a:off x="6118859" y="8648700"/>
          <a:ext cx="4036061" cy="1722119"/>
          <a:chOff x="0" y="0"/>
          <a:chExt cx="4036059" cy="1722118"/>
        </a:xfrm>
      </xdr:grpSpPr>
      <xdr:sp>
        <xdr:nvSpPr>
          <xdr:cNvPr id="70" name="Rectangle"/>
          <xdr:cNvSpPr/>
        </xdr:nvSpPr>
        <xdr:spPr>
          <a:xfrm>
            <a:off x="0" y="0"/>
            <a:ext cx="4036060" cy="1722119"/>
          </a:xfrm>
          <a:prstGeom prst="rect">
            <a:avLst/>
          </a:prstGeom>
          <a:solidFill>
            <a:srgbClr val="FFFF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71" name="image3.pdf" descr="image3.pdf"/>
          <xdr:cNvPicPr>
            <a:picLocks noChangeAspect="1"/>
          </xdr:cNvPicPr>
        </xdr:nvPicPr>
        <xdr:blipFill>
          <a:blip r:embed="rId7">
            <a:extLst/>
          </a:blip>
          <a:stretch>
            <a:fillRect/>
          </a:stretch>
        </xdr:blipFill>
        <xdr:spPr>
          <a:xfrm>
            <a:off x="0" y="0"/>
            <a:ext cx="4036060" cy="1722119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4</xdr:col>
      <xdr:colOff>99059</xdr:colOff>
      <xdr:row>22</xdr:row>
      <xdr:rowOff>53340</xdr:rowOff>
    </xdr:from>
    <xdr:to>
      <xdr:col>8</xdr:col>
      <xdr:colOff>548640</xdr:colOff>
      <xdr:row>22</xdr:row>
      <xdr:rowOff>815339</xdr:rowOff>
    </xdr:to>
    <xdr:grpSp>
      <xdr:nvGrpSpPr>
        <xdr:cNvPr id="75" name="Group"/>
        <xdr:cNvGrpSpPr/>
      </xdr:nvGrpSpPr>
      <xdr:grpSpPr>
        <a:xfrm>
          <a:off x="6156959" y="6484620"/>
          <a:ext cx="6177282" cy="762000"/>
          <a:chOff x="0" y="0"/>
          <a:chExt cx="6177280" cy="761999"/>
        </a:xfrm>
      </xdr:grpSpPr>
      <xdr:sp>
        <xdr:nvSpPr>
          <xdr:cNvPr id="73" name="Rectangle"/>
          <xdr:cNvSpPr/>
        </xdr:nvSpPr>
        <xdr:spPr>
          <a:xfrm>
            <a:off x="0" y="0"/>
            <a:ext cx="6177281" cy="762000"/>
          </a:xfrm>
          <a:prstGeom prst="rect">
            <a:avLst/>
          </a:prstGeom>
          <a:solidFill>
            <a:srgbClr val="FFFF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74" name="image4.pdf" descr="image4.pdf"/>
          <xdr:cNvPicPr>
            <a:picLocks noChangeAspect="1"/>
          </xdr:cNvPicPr>
        </xdr:nvPicPr>
        <xdr:blipFill>
          <a:blip r:embed="rId8">
            <a:extLst/>
          </a:blip>
          <a:stretch>
            <a:fillRect/>
          </a:stretch>
        </xdr:blipFill>
        <xdr:spPr>
          <a:xfrm>
            <a:off x="0" y="0"/>
            <a:ext cx="6177281" cy="76200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586739</xdr:colOff>
      <xdr:row>1</xdr:row>
      <xdr:rowOff>106679</xdr:rowOff>
    </xdr:from>
    <xdr:to>
      <xdr:col>3</xdr:col>
      <xdr:colOff>769620</xdr:colOff>
      <xdr:row>5</xdr:row>
      <xdr:rowOff>76199</xdr:rowOff>
    </xdr:to>
    <xdr:grpSp>
      <xdr:nvGrpSpPr>
        <xdr:cNvPr id="79" name="Group"/>
        <xdr:cNvGrpSpPr/>
      </xdr:nvGrpSpPr>
      <xdr:grpSpPr>
        <a:xfrm>
          <a:off x="1551939" y="441959"/>
          <a:ext cx="4361182" cy="853441"/>
          <a:chOff x="0" y="0"/>
          <a:chExt cx="4361180" cy="853439"/>
        </a:xfrm>
      </xdr:grpSpPr>
      <xdr:sp>
        <xdr:nvSpPr>
          <xdr:cNvPr id="77" name="Rectangle"/>
          <xdr:cNvSpPr/>
        </xdr:nvSpPr>
        <xdr:spPr>
          <a:xfrm>
            <a:off x="0" y="0"/>
            <a:ext cx="4361181" cy="853440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78" name="image5.pdf" descr="image5.pdf"/>
          <xdr:cNvPicPr>
            <a:picLocks noChangeAspect="1"/>
          </xdr:cNvPicPr>
        </xdr:nvPicPr>
        <xdr:blipFill>
          <a:blip r:embed="rId1">
            <a:extLst/>
          </a:blip>
          <a:stretch>
            <a:fillRect/>
          </a:stretch>
        </xdr:blipFill>
        <xdr:spPr>
          <a:xfrm>
            <a:off x="0" y="0"/>
            <a:ext cx="4361181" cy="85344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4</xdr:col>
      <xdr:colOff>1013459</xdr:colOff>
      <xdr:row>2</xdr:row>
      <xdr:rowOff>144779</xdr:rowOff>
    </xdr:from>
    <xdr:to>
      <xdr:col>5</xdr:col>
      <xdr:colOff>632459</xdr:colOff>
      <xdr:row>4</xdr:row>
      <xdr:rowOff>144780</xdr:rowOff>
    </xdr:to>
    <xdr:grpSp>
      <xdr:nvGrpSpPr>
        <xdr:cNvPr id="82" name="Group"/>
        <xdr:cNvGrpSpPr/>
      </xdr:nvGrpSpPr>
      <xdr:grpSpPr>
        <a:xfrm>
          <a:off x="7071359" y="701039"/>
          <a:ext cx="1346201" cy="441961"/>
          <a:chOff x="0" y="0"/>
          <a:chExt cx="1346200" cy="441960"/>
        </a:xfrm>
      </xdr:grpSpPr>
      <xdr:sp>
        <xdr:nvSpPr>
          <xdr:cNvPr id="80" name="Rectangle"/>
          <xdr:cNvSpPr/>
        </xdr:nvSpPr>
        <xdr:spPr>
          <a:xfrm>
            <a:off x="0" y="0"/>
            <a:ext cx="1346200" cy="441961"/>
          </a:xfrm>
          <a:prstGeom prst="rect">
            <a:avLst/>
          </a:prstGeom>
          <a:solidFill>
            <a:srgbClr val="FFFF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81" name="image6.pdf" descr="image6.pdf"/>
          <xdr:cNvPicPr>
            <a:picLocks noChangeAspect="1"/>
          </xdr:cNvPicPr>
        </xdr:nvPicPr>
        <xdr:blipFill>
          <a:blip r:embed="rId2">
            <a:extLst/>
          </a:blip>
          <a:stretch>
            <a:fillRect/>
          </a:stretch>
        </xdr:blipFill>
        <xdr:spPr>
          <a:xfrm>
            <a:off x="0" y="0"/>
            <a:ext cx="1346200" cy="441961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7</xdr:col>
      <xdr:colOff>1356359</xdr:colOff>
      <xdr:row>14</xdr:row>
      <xdr:rowOff>137159</xdr:rowOff>
    </xdr:from>
    <xdr:to>
      <xdr:col>9</xdr:col>
      <xdr:colOff>1272539</xdr:colOff>
      <xdr:row>17</xdr:row>
      <xdr:rowOff>156209</xdr:rowOff>
    </xdr:to>
    <xdr:grpSp>
      <xdr:nvGrpSpPr>
        <xdr:cNvPr id="85" name="Group"/>
        <xdr:cNvGrpSpPr/>
      </xdr:nvGrpSpPr>
      <xdr:grpSpPr>
        <a:xfrm>
          <a:off x="11503659" y="4335779"/>
          <a:ext cx="3802381" cy="819151"/>
          <a:chOff x="0" y="0"/>
          <a:chExt cx="3802379" cy="819150"/>
        </a:xfrm>
      </xdr:grpSpPr>
      <xdr:sp>
        <xdr:nvSpPr>
          <xdr:cNvPr id="83" name="Rectangle"/>
          <xdr:cNvSpPr/>
        </xdr:nvSpPr>
        <xdr:spPr>
          <a:xfrm>
            <a:off x="0" y="0"/>
            <a:ext cx="3802380" cy="819150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84" name="image1.pdf" descr="image1.pdf"/>
          <xdr:cNvPicPr>
            <a:picLocks noChangeAspect="1"/>
          </xdr:cNvPicPr>
        </xdr:nvPicPr>
        <xdr:blipFill>
          <a:blip r:embed="rId3">
            <a:extLst/>
          </a:blip>
          <a:stretch>
            <a:fillRect/>
          </a:stretch>
        </xdr:blipFill>
        <xdr:spPr>
          <a:xfrm>
            <a:off x="0" y="0"/>
            <a:ext cx="3802380" cy="81915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8</xdr:col>
      <xdr:colOff>22859</xdr:colOff>
      <xdr:row>1</xdr:row>
      <xdr:rowOff>144780</xdr:rowOff>
    </xdr:from>
    <xdr:to>
      <xdr:col>9</xdr:col>
      <xdr:colOff>822960</xdr:colOff>
      <xdr:row>4</xdr:row>
      <xdr:rowOff>121919</xdr:rowOff>
    </xdr:to>
    <xdr:grpSp>
      <xdr:nvGrpSpPr>
        <xdr:cNvPr id="88" name="Group"/>
        <xdr:cNvGrpSpPr/>
      </xdr:nvGrpSpPr>
      <xdr:grpSpPr>
        <a:xfrm>
          <a:off x="11808459" y="480059"/>
          <a:ext cx="3048002" cy="640081"/>
          <a:chOff x="0" y="0"/>
          <a:chExt cx="3048000" cy="640079"/>
        </a:xfrm>
      </xdr:grpSpPr>
      <xdr:sp>
        <xdr:nvSpPr>
          <xdr:cNvPr id="86" name="Rectangle"/>
          <xdr:cNvSpPr/>
        </xdr:nvSpPr>
        <xdr:spPr>
          <a:xfrm>
            <a:off x="0" y="0"/>
            <a:ext cx="3048001" cy="640080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87" name="image7.pdf" descr="image7.pdf"/>
          <xdr:cNvPicPr>
            <a:picLocks noChangeAspect="1"/>
          </xdr:cNvPicPr>
        </xdr:nvPicPr>
        <xdr:blipFill>
          <a:blip r:embed="rId4">
            <a:extLst/>
          </a:blip>
          <a:stretch>
            <a:fillRect/>
          </a:stretch>
        </xdr:blipFill>
        <xdr:spPr>
          <a:xfrm>
            <a:off x="0" y="0"/>
            <a:ext cx="3048001" cy="64008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8</xdr:col>
      <xdr:colOff>22859</xdr:colOff>
      <xdr:row>5</xdr:row>
      <xdr:rowOff>15239</xdr:rowOff>
    </xdr:from>
    <xdr:to>
      <xdr:col>9</xdr:col>
      <xdr:colOff>1280160</xdr:colOff>
      <xdr:row>6</xdr:row>
      <xdr:rowOff>198120</xdr:rowOff>
    </xdr:to>
    <xdr:grpSp>
      <xdr:nvGrpSpPr>
        <xdr:cNvPr id="91" name="Group"/>
        <xdr:cNvGrpSpPr/>
      </xdr:nvGrpSpPr>
      <xdr:grpSpPr>
        <a:xfrm>
          <a:off x="11808459" y="1234439"/>
          <a:ext cx="3505202" cy="403861"/>
          <a:chOff x="0" y="0"/>
          <a:chExt cx="3505200" cy="403860"/>
        </a:xfrm>
      </xdr:grpSpPr>
      <xdr:sp>
        <xdr:nvSpPr>
          <xdr:cNvPr id="89" name="Rectangle"/>
          <xdr:cNvSpPr/>
        </xdr:nvSpPr>
        <xdr:spPr>
          <a:xfrm>
            <a:off x="0" y="0"/>
            <a:ext cx="3505201" cy="403861"/>
          </a:xfrm>
          <a:prstGeom prst="rect">
            <a:avLst/>
          </a:prstGeom>
          <a:solidFill>
            <a:srgbClr val="FFFF00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90" name="image8.pdf" descr="image8.pdf"/>
          <xdr:cNvPicPr>
            <a:picLocks noChangeAspect="1"/>
          </xdr:cNvPicPr>
        </xdr:nvPicPr>
        <xdr:blipFill>
          <a:blip r:embed="rId5">
            <a:extLst/>
          </a:blip>
          <a:stretch>
            <a:fillRect/>
          </a:stretch>
        </xdr:blipFill>
        <xdr:spPr>
          <a:xfrm>
            <a:off x="0" y="0"/>
            <a:ext cx="3505201" cy="403861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4</xdr:col>
      <xdr:colOff>60959</xdr:colOff>
      <xdr:row>23</xdr:row>
      <xdr:rowOff>22859</xdr:rowOff>
    </xdr:from>
    <xdr:to>
      <xdr:col>7</xdr:col>
      <xdr:colOff>182880</xdr:colOff>
      <xdr:row>23</xdr:row>
      <xdr:rowOff>906780</xdr:rowOff>
    </xdr:to>
    <xdr:grpSp>
      <xdr:nvGrpSpPr>
        <xdr:cNvPr id="94" name="Group"/>
        <xdr:cNvGrpSpPr/>
      </xdr:nvGrpSpPr>
      <xdr:grpSpPr>
        <a:xfrm>
          <a:off x="6118859" y="7459979"/>
          <a:ext cx="4211322" cy="883921"/>
          <a:chOff x="0" y="0"/>
          <a:chExt cx="4211320" cy="883920"/>
        </a:xfrm>
      </xdr:grpSpPr>
      <xdr:sp>
        <xdr:nvSpPr>
          <xdr:cNvPr id="92" name="Rectangle"/>
          <xdr:cNvSpPr/>
        </xdr:nvSpPr>
        <xdr:spPr>
          <a:xfrm>
            <a:off x="0" y="0"/>
            <a:ext cx="4211321" cy="883921"/>
          </a:xfrm>
          <a:prstGeom prst="rect">
            <a:avLst/>
          </a:prstGeom>
          <a:solidFill>
            <a:srgbClr val="FFCC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93" name="image2.pdf" descr="image2.pdf"/>
          <xdr:cNvPicPr>
            <a:picLocks noChangeAspect="1"/>
          </xdr:cNvPicPr>
        </xdr:nvPicPr>
        <xdr:blipFill>
          <a:blip r:embed="rId6">
            <a:extLst/>
          </a:blip>
          <a:stretch>
            <a:fillRect/>
          </a:stretch>
        </xdr:blipFill>
        <xdr:spPr>
          <a:xfrm>
            <a:off x="0" y="0"/>
            <a:ext cx="4211321" cy="883921"/>
          </a:xfrm>
          <a:prstGeom prst="rect">
            <a:avLst/>
          </a:prstGeom>
          <a:ln w="12700" cap="flat">
            <a:noFill/>
            <a:miter lim="400000"/>
          </a:ln>
          <a:effectLst/>
        </xdr:spPr>
      </xdr:pic>
    </xdr:grpSp>
    <xdr:clientData/>
  </xdr:twoCellAnchor>
  <xdr:twoCellAnchor>
    <xdr:from>
      <xdr:col>4</xdr:col>
      <xdr:colOff>60959</xdr:colOff>
      <xdr:row>24</xdr:row>
      <xdr:rowOff>205740</xdr:rowOff>
    </xdr:from>
    <xdr:to>
      <xdr:col>7</xdr:col>
      <xdr:colOff>7619</xdr:colOff>
      <xdr:row>29</xdr:row>
      <xdr:rowOff>99058</xdr:rowOff>
    </xdr:to>
    <xdr:grpSp>
      <xdr:nvGrpSpPr>
        <xdr:cNvPr id="97" name="Group"/>
        <xdr:cNvGrpSpPr/>
      </xdr:nvGrpSpPr>
      <xdr:grpSpPr>
        <a:xfrm>
          <a:off x="6118859" y="8648700"/>
          <a:ext cx="4036061" cy="1722119"/>
          <a:chOff x="0" y="0"/>
          <a:chExt cx="4036059" cy="1722118"/>
        </a:xfrm>
      </xdr:grpSpPr>
      <xdr:sp>
        <xdr:nvSpPr>
          <xdr:cNvPr id="95" name="Rectangle"/>
          <xdr:cNvSpPr/>
        </xdr:nvSpPr>
        <xdr:spPr>
          <a:xfrm>
            <a:off x="0" y="0"/>
            <a:ext cx="4036060" cy="1722119"/>
          </a:xfrm>
          <a:prstGeom prst="rect">
            <a:avLst/>
          </a:prstGeom>
          <a:solidFill>
            <a:srgbClr val="FFFF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96" name="image3.pdf" descr="image3.pdf"/>
          <xdr:cNvPicPr>
            <a:picLocks noChangeAspect="1"/>
          </xdr:cNvPicPr>
        </xdr:nvPicPr>
        <xdr:blipFill>
          <a:blip r:embed="rId7">
            <a:extLst/>
          </a:blip>
          <a:stretch>
            <a:fillRect/>
          </a:stretch>
        </xdr:blipFill>
        <xdr:spPr>
          <a:xfrm>
            <a:off x="0" y="0"/>
            <a:ext cx="4036060" cy="1722119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  <xdr:twoCellAnchor>
    <xdr:from>
      <xdr:col>4</xdr:col>
      <xdr:colOff>99059</xdr:colOff>
      <xdr:row>22</xdr:row>
      <xdr:rowOff>53340</xdr:rowOff>
    </xdr:from>
    <xdr:to>
      <xdr:col>8</xdr:col>
      <xdr:colOff>548640</xdr:colOff>
      <xdr:row>22</xdr:row>
      <xdr:rowOff>815339</xdr:rowOff>
    </xdr:to>
    <xdr:grpSp>
      <xdr:nvGrpSpPr>
        <xdr:cNvPr id="100" name="Group"/>
        <xdr:cNvGrpSpPr/>
      </xdr:nvGrpSpPr>
      <xdr:grpSpPr>
        <a:xfrm>
          <a:off x="6156959" y="6484620"/>
          <a:ext cx="6177282" cy="762000"/>
          <a:chOff x="0" y="0"/>
          <a:chExt cx="6177280" cy="761999"/>
        </a:xfrm>
      </xdr:grpSpPr>
      <xdr:sp>
        <xdr:nvSpPr>
          <xdr:cNvPr id="98" name="Rectangle"/>
          <xdr:cNvSpPr/>
        </xdr:nvSpPr>
        <xdr:spPr>
          <a:xfrm>
            <a:off x="0" y="0"/>
            <a:ext cx="6177281" cy="762000"/>
          </a:xfrm>
          <a:prstGeom prst="rect">
            <a:avLst/>
          </a:prstGeom>
          <a:solidFill>
            <a:srgbClr val="FFFF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99" name="image4.pdf" descr="image4.pdf"/>
          <xdr:cNvPicPr>
            <a:picLocks noChangeAspect="1"/>
          </xdr:cNvPicPr>
        </xdr:nvPicPr>
        <xdr:blipFill>
          <a:blip r:embed="rId8">
            <a:extLst/>
          </a:blip>
          <a:stretch>
            <a:fillRect/>
          </a:stretch>
        </xdr:blipFill>
        <xdr:spPr>
          <a:xfrm>
            <a:off x="0" y="0"/>
            <a:ext cx="6177281" cy="762000"/>
          </a:xfrm>
          <a:prstGeom prst="rect">
            <a:avLst/>
          </a:prstGeom>
          <a:ln w="9525" cap="flat">
            <a:solidFill>
              <a:srgbClr val="000000"/>
            </a:solidFill>
            <a:prstDash val="solid"/>
            <a:round/>
          </a:ln>
          <a:effectLst/>
        </xdr:spPr>
      </xdr:pic>
    </xdr:grpSp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508641</xdr:colOff>
      <xdr:row>0</xdr:row>
      <xdr:rowOff>203200</xdr:rowOff>
    </xdr:from>
    <xdr:to>
      <xdr:col>14</xdr:col>
      <xdr:colOff>6801</xdr:colOff>
      <xdr:row>17</xdr:row>
      <xdr:rowOff>94615</xdr:rowOff>
    </xdr:to>
    <xdr:pic>
      <xdr:nvPicPr>
        <xdr:cNvPr id="10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738241" y="203200"/>
          <a:ext cx="4781361" cy="36480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66667" defaultRowHeight="14.4" customHeight="1" outlineLevelRow="0" outlineLevelCol="0"/>
  <cols>
    <col min="1" max="1" width="18.8516" style="1" customWidth="1"/>
    <col min="2" max="2" width="18.3516" style="1" customWidth="1"/>
    <col min="3" max="3" width="28.1719" style="1" customWidth="1"/>
    <col min="4" max="4" width="20.5" style="1" customWidth="1"/>
    <col min="5" max="5" width="41" style="1" customWidth="1"/>
    <col min="6" max="6" width="41.1719" style="1" customWidth="1"/>
    <col min="7" max="16384" width="8.67188" style="1" customWidth="1"/>
  </cols>
  <sheetData>
    <row r="1" ht="16" customHeight="1">
      <c r="A1" s="2"/>
      <c r="B1" s="3"/>
      <c r="C1" t="s" s="4">
        <v>0</v>
      </c>
      <c r="D1" s="5"/>
      <c r="E1" s="5"/>
      <c r="F1" s="6"/>
    </row>
    <row r="2" ht="15" customHeight="1">
      <c r="A2" s="7"/>
      <c r="B2" s="8"/>
      <c r="C2" s="9"/>
      <c r="D2" s="9"/>
      <c r="E2" s="9"/>
      <c r="F2" s="10"/>
    </row>
    <row r="3" ht="17.4" customHeight="1">
      <c r="A3" t="s" s="11">
        <v>1</v>
      </c>
      <c r="B3" t="s" s="11">
        <v>2</v>
      </c>
      <c r="C3" t="s" s="11">
        <v>3</v>
      </c>
      <c r="D3" t="s" s="11">
        <v>4</v>
      </c>
      <c r="E3" t="s" s="11">
        <v>5</v>
      </c>
      <c r="F3" t="s" s="11">
        <v>6</v>
      </c>
    </row>
    <row r="4" ht="15" customHeight="1">
      <c r="A4" s="12"/>
      <c r="B4" s="13"/>
      <c r="C4" s="13"/>
      <c r="D4" s="13"/>
      <c r="E4" s="13"/>
      <c r="F4" s="13"/>
    </row>
    <row r="5" ht="52.2" customHeight="1">
      <c r="A5" t="s" s="14">
        <v>7</v>
      </c>
      <c r="B5" t="s" s="15">
        <v>8</v>
      </c>
      <c r="C5" t="s" s="16">
        <v>9</v>
      </c>
      <c r="D5" t="s" s="16">
        <v>10</v>
      </c>
      <c r="E5" t="s" s="16">
        <v>11</v>
      </c>
      <c r="F5" t="s" s="16">
        <v>12</v>
      </c>
    </row>
    <row r="6" ht="52.8" customHeight="1">
      <c r="A6" s="17"/>
      <c r="B6" t="s" s="15">
        <v>13</v>
      </c>
      <c r="C6" t="s" s="16">
        <v>14</v>
      </c>
      <c r="D6" t="s" s="16">
        <v>15</v>
      </c>
      <c r="E6" t="s" s="16">
        <v>16</v>
      </c>
      <c r="F6" t="s" s="16">
        <v>17</v>
      </c>
    </row>
    <row r="7" ht="8" customHeight="1">
      <c r="A7" s="18"/>
      <c r="B7" s="19"/>
      <c r="C7" s="19"/>
      <c r="D7" s="19"/>
      <c r="E7" s="19"/>
      <c r="F7" s="20"/>
    </row>
    <row r="8" ht="34.8" customHeight="1">
      <c r="A8" t="s" s="21">
        <v>18</v>
      </c>
      <c r="B8" t="s" s="22">
        <v>19</v>
      </c>
      <c r="C8" t="s" s="16">
        <v>20</v>
      </c>
      <c r="D8" t="s" s="16">
        <v>21</v>
      </c>
      <c r="E8" t="s" s="16">
        <v>22</v>
      </c>
      <c r="F8" t="s" s="16">
        <v>23</v>
      </c>
    </row>
    <row r="9" ht="43.8" customHeight="1">
      <c r="A9" s="23"/>
      <c r="B9" t="s" s="24">
        <v>24</v>
      </c>
      <c r="C9" t="s" s="25">
        <v>25</v>
      </c>
      <c r="D9" t="s" s="16">
        <v>26</v>
      </c>
      <c r="E9" t="s" s="16">
        <v>27</v>
      </c>
      <c r="F9" t="s" s="16">
        <v>28</v>
      </c>
    </row>
    <row r="10" ht="16" customHeight="1">
      <c r="A10" s="26"/>
      <c r="B10" s="27"/>
      <c r="C10" s="27"/>
      <c r="D10" s="28"/>
      <c r="E10" s="28"/>
      <c r="F10" s="29"/>
    </row>
  </sheetData>
  <mergeCells count="10">
    <mergeCell ref="F3:F4"/>
    <mergeCell ref="C1:E2"/>
    <mergeCell ref="A3:A4"/>
    <mergeCell ref="B3:B4"/>
    <mergeCell ref="C3:C4"/>
    <mergeCell ref="D3:D4"/>
    <mergeCell ref="E3:E4"/>
    <mergeCell ref="A5:A6"/>
    <mergeCell ref="A7:F7"/>
    <mergeCell ref="A8:A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K15"/>
  <sheetViews>
    <sheetView workbookViewId="0" showGridLines="0" defaultGridColor="1"/>
  </sheetViews>
  <sheetFormatPr defaultColWidth="17.5" defaultRowHeight="14.4" customHeight="1" outlineLevelRow="0" outlineLevelCol="0"/>
  <cols>
    <col min="1" max="1" width="8.5" style="30" customWidth="1"/>
    <col min="2" max="2" width="17.5" style="30" customWidth="1"/>
    <col min="3" max="3" width="28.8516" style="30" customWidth="1"/>
    <col min="4" max="4" width="30.3516" style="30" customWidth="1"/>
    <col min="5" max="5" width="6.35156" style="30" customWidth="1"/>
    <col min="6" max="6" width="6.67188" style="30" customWidth="1"/>
    <col min="7" max="7" width="5.67188" style="30" customWidth="1"/>
    <col min="8" max="8" width="6.17188" style="30" customWidth="1"/>
    <col min="9" max="9" width="5.67188" style="30" customWidth="1"/>
    <col min="10" max="10" width="30.5" style="30" customWidth="1"/>
    <col min="11" max="11" width="17.5" style="30" customWidth="1"/>
    <col min="12" max="16384" width="17.5" style="30" customWidth="1"/>
  </cols>
  <sheetData>
    <row r="1" ht="17.4" customHeight="1">
      <c r="A1" s="31"/>
      <c r="B1" s="32"/>
      <c r="C1" s="32"/>
      <c r="D1" s="32"/>
      <c r="E1" t="s" s="33">
        <v>29</v>
      </c>
      <c r="F1" s="34"/>
      <c r="G1" s="34"/>
      <c r="H1" s="34"/>
      <c r="I1" s="34"/>
      <c r="J1" s="32"/>
      <c r="K1" s="35"/>
    </row>
    <row r="2" ht="17.4" customHeight="1">
      <c r="A2" s="36"/>
      <c r="B2" s="37"/>
      <c r="C2" t="s" s="38">
        <v>2</v>
      </c>
      <c r="D2" t="s" s="39">
        <v>30</v>
      </c>
      <c r="E2" s="40">
        <v>1</v>
      </c>
      <c r="F2" s="40">
        <v>2</v>
      </c>
      <c r="G2" s="40">
        <v>3</v>
      </c>
      <c r="H2" s="40">
        <v>4</v>
      </c>
      <c r="I2" s="40">
        <v>5</v>
      </c>
      <c r="J2" t="s" s="41">
        <v>31</v>
      </c>
      <c r="K2" t="s" s="42">
        <v>32</v>
      </c>
    </row>
    <row r="3" ht="17.4" customHeight="1">
      <c r="A3" t="s" s="43">
        <v>33</v>
      </c>
      <c r="B3" t="s" s="39">
        <v>34</v>
      </c>
      <c r="C3" t="s" s="25">
        <v>8</v>
      </c>
      <c r="D3" t="s" s="44">
        <v>10</v>
      </c>
      <c r="E3" s="32"/>
      <c r="F3" s="45"/>
      <c r="G3" s="32"/>
      <c r="H3" s="45"/>
      <c r="I3" s="32"/>
      <c r="J3" s="46">
        <v>5</v>
      </c>
      <c r="K3" s="47" cm="1">
        <f t="array" ref="K3">J3/J$15</f>
        <v>0.0675675675675676</v>
      </c>
    </row>
    <row r="4" ht="17.4" customHeight="1">
      <c r="A4" s="48"/>
      <c r="B4" t="s" s="39">
        <v>35</v>
      </c>
      <c r="C4" s="49"/>
      <c r="D4" s="50"/>
      <c r="E4" s="32"/>
      <c r="F4" s="45"/>
      <c r="G4" s="32"/>
      <c r="H4" s="45"/>
      <c r="I4" s="32"/>
      <c r="J4" s="46">
        <v>7</v>
      </c>
      <c r="K4" s="47" cm="1">
        <f t="array" ref="K4">J4/J$15</f>
        <v>0.0945945945945946</v>
      </c>
    </row>
    <row r="5" ht="17.4" customHeight="1">
      <c r="A5" s="48"/>
      <c r="B5" t="s" s="39">
        <v>36</v>
      </c>
      <c r="C5" s="49"/>
      <c r="D5" s="50"/>
      <c r="E5" s="32"/>
      <c r="F5" s="45"/>
      <c r="G5" s="32"/>
      <c r="H5" s="45"/>
      <c r="I5" s="32"/>
      <c r="J5" s="46">
        <v>6</v>
      </c>
      <c r="K5" s="47" cm="1">
        <f t="array" ref="K5">J5/J$15</f>
        <v>0.0810810810810811</v>
      </c>
    </row>
    <row r="6" ht="17.4" customHeight="1">
      <c r="A6" s="48"/>
      <c r="B6" t="s" s="33">
        <v>37</v>
      </c>
      <c r="C6" s="49"/>
      <c r="D6" s="50"/>
      <c r="E6" s="32"/>
      <c r="F6" s="45"/>
      <c r="G6" s="32"/>
      <c r="H6" s="45"/>
      <c r="I6" s="32"/>
      <c r="J6" s="46">
        <v>3</v>
      </c>
      <c r="K6" s="47" cm="1">
        <f t="array" ref="K6">J6/J$15</f>
        <v>0.0405405405405405</v>
      </c>
    </row>
    <row r="7" ht="17.4" customHeight="1">
      <c r="A7" t="s" s="43">
        <v>38</v>
      </c>
      <c r="B7" t="s" s="39">
        <v>34</v>
      </c>
      <c r="C7" s="49"/>
      <c r="D7" s="50"/>
      <c r="E7" s="32"/>
      <c r="F7" s="32"/>
      <c r="G7" s="32"/>
      <c r="H7" s="45"/>
      <c r="I7" s="32"/>
      <c r="J7" s="46">
        <v>4</v>
      </c>
      <c r="K7" s="47" cm="1">
        <f t="array" ref="K7">J7/J$15</f>
        <v>0.0540540540540541</v>
      </c>
    </row>
    <row r="8" ht="17.4" customHeight="1">
      <c r="A8" s="48"/>
      <c r="B8" t="s" s="39">
        <v>35</v>
      </c>
      <c r="C8" s="49"/>
      <c r="D8" s="50"/>
      <c r="E8" s="32"/>
      <c r="F8" s="32"/>
      <c r="G8" s="32"/>
      <c r="H8" s="45"/>
      <c r="I8" s="32"/>
      <c r="J8" s="46">
        <v>2</v>
      </c>
      <c r="K8" s="47" cm="1">
        <f t="array" ref="K8">J8/J$15</f>
        <v>0.027027027027027</v>
      </c>
    </row>
    <row r="9" ht="17.4" customHeight="1">
      <c r="A9" s="48"/>
      <c r="B9" t="s" s="39">
        <v>36</v>
      </c>
      <c r="C9" s="49"/>
      <c r="D9" s="50"/>
      <c r="E9" s="32"/>
      <c r="F9" s="32"/>
      <c r="G9" s="32"/>
      <c r="H9" s="45"/>
      <c r="I9" s="32"/>
      <c r="J9" s="46">
        <v>2</v>
      </c>
      <c r="K9" s="47" cm="1">
        <f t="array" ref="K9">J9/J$15</f>
        <v>0.027027027027027</v>
      </c>
    </row>
    <row r="10" ht="17.4" customHeight="1">
      <c r="A10" s="48"/>
      <c r="B10" t="s" s="33">
        <v>37</v>
      </c>
      <c r="C10" s="49"/>
      <c r="D10" s="50"/>
      <c r="E10" s="32"/>
      <c r="F10" s="32"/>
      <c r="G10" s="32"/>
      <c r="H10" s="45"/>
      <c r="I10" s="32"/>
      <c r="J10" s="46">
        <v>10</v>
      </c>
      <c r="K10" s="47" cm="1">
        <f t="array" ref="K10">J10/J$15</f>
        <v>0.135135135135135</v>
      </c>
    </row>
    <row r="11" ht="17.4" customHeight="1">
      <c r="A11" t="s" s="43">
        <v>39</v>
      </c>
      <c r="B11" t="s" s="39">
        <v>34</v>
      </c>
      <c r="C11" s="49"/>
      <c r="D11" s="50"/>
      <c r="E11" s="32"/>
      <c r="F11" s="32"/>
      <c r="G11" s="32"/>
      <c r="H11" s="45"/>
      <c r="I11" s="45"/>
      <c r="J11" s="46">
        <v>9</v>
      </c>
      <c r="K11" s="47" cm="1">
        <f t="array" ref="K11">J11/J$15</f>
        <v>0.121621621621622</v>
      </c>
    </row>
    <row r="12" ht="17.4" customHeight="1">
      <c r="A12" s="48"/>
      <c r="B12" t="s" s="39">
        <v>35</v>
      </c>
      <c r="C12" s="49"/>
      <c r="D12" s="50"/>
      <c r="E12" s="32"/>
      <c r="F12" s="32"/>
      <c r="G12" s="32"/>
      <c r="H12" s="45"/>
      <c r="I12" s="45"/>
      <c r="J12" s="46">
        <v>10</v>
      </c>
      <c r="K12" s="47" cm="1">
        <f t="array" ref="K12">J12/J$15</f>
        <v>0.135135135135135</v>
      </c>
    </row>
    <row r="13" ht="17.4" customHeight="1">
      <c r="A13" s="48"/>
      <c r="B13" t="s" s="39">
        <v>36</v>
      </c>
      <c r="C13" s="49"/>
      <c r="D13" s="50"/>
      <c r="E13" s="32"/>
      <c r="F13" s="32"/>
      <c r="G13" s="32"/>
      <c r="H13" s="45"/>
      <c r="I13" s="45"/>
      <c r="J13" s="46">
        <v>7</v>
      </c>
      <c r="K13" s="47" cm="1">
        <f t="array" ref="K13">J13/J$15</f>
        <v>0.0945945945945946</v>
      </c>
    </row>
    <row r="14" ht="17.4" customHeight="1">
      <c r="A14" s="48"/>
      <c r="B14" t="s" s="33">
        <v>37</v>
      </c>
      <c r="C14" s="49"/>
      <c r="D14" s="50"/>
      <c r="E14" s="32"/>
      <c r="F14" s="32"/>
      <c r="G14" s="32"/>
      <c r="H14" s="45"/>
      <c r="I14" s="45"/>
      <c r="J14" s="46">
        <v>9</v>
      </c>
      <c r="K14" s="47" cm="1">
        <f t="array" ref="K14">J14/J$15</f>
        <v>0.121621621621622</v>
      </c>
    </row>
    <row r="15" ht="14.4" customHeight="1">
      <c r="A15" s="51"/>
      <c r="B15" s="51"/>
      <c r="C15" s="52"/>
      <c r="D15" s="52"/>
      <c r="E15" s="51"/>
      <c r="F15" s="51"/>
      <c r="G15" s="51"/>
      <c r="H15" s="51"/>
      <c r="I15" s="53"/>
      <c r="J15" s="54" cm="1">
        <f t="array" ref="J15">SUM(J3:J14)</f>
        <v>74</v>
      </c>
      <c r="K15" s="55" cm="1">
        <f t="array" ref="K15">AVEDEV(K3:K14)</f>
        <v>0.0337837837837838</v>
      </c>
    </row>
  </sheetData>
  <mergeCells count="6">
    <mergeCell ref="E1:I1"/>
    <mergeCell ref="C3:C14"/>
    <mergeCell ref="D3:D14"/>
    <mergeCell ref="A3:A6"/>
    <mergeCell ref="A7:A10"/>
    <mergeCell ref="A11:A1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N123"/>
  <sheetViews>
    <sheetView workbookViewId="0" showGridLines="0" defaultGridColor="1"/>
  </sheetViews>
  <sheetFormatPr defaultColWidth="8.66667" defaultRowHeight="17.4" customHeight="1" outlineLevelRow="0" outlineLevelCol="0"/>
  <cols>
    <col min="1" max="1" width="12.6719" style="56" customWidth="1"/>
    <col min="2" max="2" width="32.6719" style="56" customWidth="1"/>
    <col min="3" max="3" width="22.1719" style="56" customWidth="1"/>
    <col min="4" max="4" width="12" style="56" customWidth="1"/>
    <col min="5" max="5" width="22.6719" style="56" customWidth="1"/>
    <col min="6" max="6" width="11.5" style="56" customWidth="1"/>
    <col min="7" max="7" width="19.5" style="56" customWidth="1"/>
    <col min="8" max="8" width="21.5" style="56" customWidth="1"/>
    <col min="9" max="9" width="29.5" style="56" customWidth="1"/>
    <col min="10" max="10" width="25.1719" style="56" customWidth="1"/>
    <col min="11" max="11" width="15.6719" style="56" customWidth="1"/>
    <col min="12" max="12" width="17.5" style="56" customWidth="1"/>
    <col min="13" max="13" width="24.5" style="56" customWidth="1"/>
    <col min="14" max="14" width="23.1719" style="56" customWidth="1"/>
    <col min="15" max="16384" width="8.67188" style="56" customWidth="1"/>
  </cols>
  <sheetData>
    <row r="1" ht="26.4" customHeight="1">
      <c r="A1" s="57"/>
      <c r="B1" s="58"/>
      <c r="C1" s="59"/>
      <c r="D1" s="58"/>
      <c r="E1" s="58"/>
      <c r="F1" s="58"/>
      <c r="G1" s="58"/>
      <c r="H1" s="58"/>
      <c r="I1" s="58"/>
      <c r="J1" s="57"/>
      <c r="K1" s="58"/>
      <c r="L1" s="58"/>
      <c r="M1" s="58"/>
      <c r="N1" s="58"/>
    </row>
    <row r="2" ht="17.4" customHeight="1">
      <c r="A2" s="57"/>
      <c r="B2" s="58"/>
      <c r="C2" s="58"/>
      <c r="D2" s="58"/>
      <c r="E2" s="58"/>
      <c r="F2" s="58"/>
      <c r="G2" s="58"/>
      <c r="H2" s="58"/>
      <c r="I2" s="58"/>
      <c r="J2" s="57"/>
      <c r="K2" s="58"/>
      <c r="L2" s="58"/>
      <c r="M2" s="58"/>
      <c r="N2" s="58"/>
    </row>
    <row r="3" ht="17.4" customHeight="1">
      <c r="A3" s="57"/>
      <c r="B3" s="58"/>
      <c r="C3" s="58"/>
      <c r="D3" s="58"/>
      <c r="E3" s="58"/>
      <c r="F3" s="58"/>
      <c r="G3" s="58"/>
      <c r="H3" s="58"/>
      <c r="I3" s="58"/>
      <c r="J3" s="57"/>
      <c r="K3" s="58"/>
      <c r="L3" s="58"/>
      <c r="M3" s="58"/>
      <c r="N3" s="58"/>
    </row>
    <row r="4" ht="17.4" customHeight="1">
      <c r="A4" s="57"/>
      <c r="B4" s="58"/>
      <c r="C4" s="58"/>
      <c r="D4" s="58"/>
      <c r="E4" s="58"/>
      <c r="F4" s="58"/>
      <c r="G4" s="58"/>
      <c r="H4" s="58"/>
      <c r="I4" s="58"/>
      <c r="J4" s="57"/>
      <c r="K4" s="58"/>
      <c r="L4" s="58"/>
      <c r="M4" s="58"/>
      <c r="N4" s="58"/>
    </row>
    <row r="5" ht="17.4" customHeight="1">
      <c r="A5" s="57"/>
      <c r="B5" s="58"/>
      <c r="C5" s="58"/>
      <c r="D5" s="58"/>
      <c r="E5" s="58"/>
      <c r="F5" s="60"/>
      <c r="G5" s="61"/>
      <c r="H5" s="61"/>
      <c r="I5" s="58"/>
      <c r="J5" s="57"/>
      <c r="K5" s="58"/>
      <c r="L5" s="58"/>
      <c r="M5" s="58"/>
      <c r="N5" s="58"/>
    </row>
    <row r="6" ht="17.4" customHeight="1">
      <c r="A6" s="57"/>
      <c r="B6" s="58"/>
      <c r="C6" s="60"/>
      <c r="D6" t="s" s="62">
        <v>40</v>
      </c>
      <c r="E6" s="36"/>
      <c r="F6" s="63"/>
      <c r="G6" s="64"/>
      <c r="H6" s="61"/>
      <c r="I6" s="58"/>
      <c r="J6" s="57"/>
      <c r="K6" s="58"/>
      <c r="L6" s="58"/>
      <c r="M6" s="58"/>
      <c r="N6" s="58"/>
    </row>
    <row r="7" ht="26.4" customHeight="1">
      <c r="A7" s="57"/>
      <c r="B7" s="36"/>
      <c r="C7" t="s" s="65">
        <v>41</v>
      </c>
      <c r="D7" t="s" s="66">
        <v>42</v>
      </c>
      <c r="E7" t="s" s="66">
        <v>43</v>
      </c>
      <c r="F7" t="s" s="66">
        <v>44</v>
      </c>
      <c r="G7" s="67"/>
      <c r="H7" s="61"/>
      <c r="I7" s="68"/>
      <c r="J7" s="69"/>
      <c r="K7" s="70"/>
      <c r="L7" s="58"/>
      <c r="M7" s="58"/>
      <c r="N7" s="58"/>
    </row>
    <row r="8" ht="48" customHeight="1">
      <c r="A8" s="71"/>
      <c r="B8" t="s" s="72">
        <v>45</v>
      </c>
      <c r="C8" t="s" s="72">
        <v>46</v>
      </c>
      <c r="D8" t="s" s="73">
        <v>47</v>
      </c>
      <c r="E8" t="s" s="65">
        <v>48</v>
      </c>
      <c r="F8" t="s" s="65">
        <v>49</v>
      </c>
      <c r="G8" s="74"/>
      <c r="H8" s="31"/>
      <c r="I8" t="s" s="75">
        <v>50</v>
      </c>
      <c r="J8" s="76"/>
      <c r="K8" s="68"/>
      <c r="L8" s="58"/>
      <c r="M8" s="70"/>
      <c r="N8" s="60"/>
    </row>
    <row r="9" ht="26.4" customHeight="1">
      <c r="A9" t="s" s="77">
        <v>33</v>
      </c>
      <c r="B9" t="s" s="78">
        <v>51</v>
      </c>
      <c r="C9" s="79">
        <v>5</v>
      </c>
      <c r="D9" s="80" cm="1">
        <f t="array" ref="D9">RANK(C9,C$9:C$20,1)</f>
        <v>5</v>
      </c>
      <c r="E9" s="81" cm="1">
        <f t="array" ref="E9">LN(LN(1/(1-((D9-0.3)/(12+0.4)))))</f>
        <v>-0.741337622720735</v>
      </c>
      <c r="F9" s="81" cm="1">
        <f t="array" ref="F9">LN(C9)</f>
        <v>1.6094379124341</v>
      </c>
      <c r="G9" s="74"/>
      <c r="H9" s="82"/>
      <c r="I9" t="s" s="83">
        <v>52</v>
      </c>
      <c r="J9" s="84" cm="1">
        <f t="array" ref="J9">1/SLOPE(F9:F20,E9:E20)</f>
        <v>2.0492656199586</v>
      </c>
      <c r="K9" t="s" s="85">
        <v>53</v>
      </c>
      <c r="L9" s="74"/>
      <c r="M9" s="36"/>
      <c r="N9" t="s" s="86">
        <v>54</v>
      </c>
    </row>
    <row r="10" ht="26.4" customHeight="1">
      <c r="A10" s="87"/>
      <c r="B10" t="s" s="88">
        <v>55</v>
      </c>
      <c r="C10" s="79">
        <v>7</v>
      </c>
      <c r="D10" s="80" cm="1">
        <f t="array" ref="D10">RANK(C10,C$9:C$20,1)</f>
        <v>7</v>
      </c>
      <c r="E10" s="81" cm="1">
        <f t="array" ref="E10">LN(LN(1/(1-((D10-0.3)/(12+0.4)))))</f>
        <v>-0.252018579003364</v>
      </c>
      <c r="F10" s="81" cm="1">
        <f t="array" ref="F10">LN(C10)</f>
        <v>1.94591014905531</v>
      </c>
      <c r="G10" s="74"/>
      <c r="H10" s="82"/>
      <c r="I10" t="s" s="89">
        <v>56</v>
      </c>
      <c r="J10" s="90" cm="1">
        <f t="array" ref="J10">EXP(INTERCEPT(F9:F20,E9:E20))</f>
        <v>7.46401726738391</v>
      </c>
      <c r="K10" t="s" s="85">
        <v>57</v>
      </c>
      <c r="L10" s="91"/>
      <c r="M10" t="s" s="92">
        <v>58</v>
      </c>
      <c r="N10" t="s" s="92">
        <v>59</v>
      </c>
    </row>
    <row r="11" ht="26.4" customHeight="1">
      <c r="A11" s="87"/>
      <c r="B11" t="s" s="93">
        <v>60</v>
      </c>
      <c r="C11" s="79">
        <v>6</v>
      </c>
      <c r="D11" s="80" cm="1">
        <f t="array" ref="D11">RANK(C11,C$9:C$20,1)</f>
        <v>6</v>
      </c>
      <c r="E11" s="81" cm="1">
        <f t="array" ref="E11">LN(LN(1/(1-((D11-0.3)/(12+0.4)))))</f>
        <v>-0.48517583329612</v>
      </c>
      <c r="F11" s="81" cm="1">
        <f t="array" ref="F11">LN(C11)</f>
        <v>1.79175946922805</v>
      </c>
      <c r="G11" s="94"/>
      <c r="H11" s="95"/>
      <c r="I11" t="s" s="96">
        <v>61</v>
      </c>
      <c r="J11" s="97">
        <v>0.838138138415262</v>
      </c>
      <c r="K11" t="s" s="85">
        <v>62</v>
      </c>
      <c r="L11" s="91"/>
      <c r="M11" s="98" cm="1">
        <f t="array" ref="M11">AVERAGE(C9:C20)</f>
        <v>6.16666666666667</v>
      </c>
      <c r="N11" s="99" cm="1">
        <f t="array" ref="N11">EXPONDIST(C18,1/M11,1)</f>
        <v>0.802421957663485</v>
      </c>
    </row>
    <row r="12" ht="21" customHeight="1">
      <c r="A12" s="87"/>
      <c r="B12" t="s" s="100">
        <v>63</v>
      </c>
      <c r="C12" s="79">
        <v>3</v>
      </c>
      <c r="D12" s="80" cm="1">
        <f t="array" ref="D12">RANK(C12,C$9:C$20,1)</f>
        <v>3</v>
      </c>
      <c r="E12" s="81" cm="1">
        <f t="array" ref="E12">LN(LN(1/(1-((D12-0.3)/(12+0.4)))))</f>
        <v>-1.40417084923896</v>
      </c>
      <c r="F12" s="81" cm="1">
        <f t="array" ref="F12">LN(C12)</f>
        <v>1.09861228866811</v>
      </c>
      <c r="G12" s="74"/>
      <c r="H12" s="60"/>
      <c r="I12" s="51"/>
      <c r="J12" s="101"/>
      <c r="K12" s="51"/>
      <c r="L12" s="58"/>
      <c r="M12" s="51"/>
      <c r="N12" s="51"/>
    </row>
    <row r="13" ht="21" customHeight="1">
      <c r="A13" t="s" s="77">
        <v>38</v>
      </c>
      <c r="B13" t="s" s="102">
        <v>51</v>
      </c>
      <c r="C13" s="79">
        <v>4</v>
      </c>
      <c r="D13" s="80" cm="1">
        <f t="array" ref="D13">RANK(C13,C$9:C$20,1)</f>
        <v>4</v>
      </c>
      <c r="E13" s="81" cm="1">
        <f t="array" ref="E13">LN(LN(1/(1-((D13-0.3)/(12+0.4)))))</f>
        <v>-1.03740398701285</v>
      </c>
      <c r="F13" s="81" cm="1">
        <f t="array" ref="F13">LN(C13)</f>
        <v>1.38629436111989</v>
      </c>
      <c r="G13" s="91"/>
      <c r="H13" s="103"/>
      <c r="I13" s="74"/>
      <c r="J13" s="57"/>
      <c r="K13" s="58"/>
      <c r="L13" s="58"/>
      <c r="M13" s="58"/>
      <c r="N13" s="58"/>
    </row>
    <row r="14" ht="21.6" customHeight="1">
      <c r="A14" s="87"/>
      <c r="B14" t="s" s="88">
        <v>55</v>
      </c>
      <c r="C14" s="79">
        <v>2</v>
      </c>
      <c r="D14" s="80" cm="1">
        <f t="array" ref="D14">RANK(C14,C$9:C$20,1)</f>
        <v>1</v>
      </c>
      <c r="E14" s="81" cm="1">
        <f t="array" ref="E14">LN(LN(1/(1-((D14-0.3)/(12+0.4)))))</f>
        <v>-2.84545828455263</v>
      </c>
      <c r="F14" s="81" cm="1">
        <f t="array" ref="F14">LN(C14)</f>
        <v>0.693147180559945</v>
      </c>
      <c r="G14" s="94"/>
      <c r="H14" s="104"/>
      <c r="I14" t="s" s="105">
        <v>64</v>
      </c>
      <c r="J14" s="106"/>
      <c r="K14" s="61"/>
      <c r="L14" s="58"/>
      <c r="M14" s="58"/>
      <c r="N14" s="58"/>
    </row>
    <row r="15" ht="21" customHeight="1">
      <c r="A15" s="87"/>
      <c r="B15" t="s" s="93">
        <v>60</v>
      </c>
      <c r="C15" s="79">
        <v>2</v>
      </c>
      <c r="D15" s="80" cm="1">
        <f t="array" ref="D15">RANK(C15,C$9:C$20,1)</f>
        <v>1</v>
      </c>
      <c r="E15" s="81" cm="1">
        <f t="array" ref="E15">LN(LN(1/(1-((D15-0.3)/(12+0.4)))))</f>
        <v>-2.84545828455263</v>
      </c>
      <c r="F15" s="81" cm="1">
        <f t="array" ref="F15">LN(C15)</f>
        <v>0.693147180559945</v>
      </c>
      <c r="G15" s="74"/>
      <c r="H15" s="58"/>
      <c r="I15" s="107"/>
      <c r="J15" s="108"/>
      <c r="K15" s="61"/>
      <c r="L15" s="58"/>
      <c r="M15" s="58"/>
      <c r="N15" s="58"/>
    </row>
    <row r="16" ht="21" customHeight="1">
      <c r="A16" s="87"/>
      <c r="B16" t="s" s="100">
        <v>63</v>
      </c>
      <c r="C16" s="79">
        <v>10</v>
      </c>
      <c r="D16" s="80" cm="1">
        <f t="array" ref="D16">RANK(C16,C$9:C$20,1)</f>
        <v>11</v>
      </c>
      <c r="E16" s="81" cm="1">
        <f t="array" ref="E16">LN(LN(1/(1-((D16-0.3)/(12+0.4)))))</f>
        <v>0.686660296925337</v>
      </c>
      <c r="F16" s="81" cm="1">
        <f t="array" ref="F16">LN(C16)</f>
        <v>2.30258509299405</v>
      </c>
      <c r="G16" s="74"/>
      <c r="H16" s="58"/>
      <c r="I16" s="58"/>
      <c r="J16" s="57"/>
      <c r="K16" s="58"/>
      <c r="L16" s="58"/>
      <c r="M16" s="58"/>
      <c r="N16" s="58"/>
    </row>
    <row r="17" ht="21" customHeight="1">
      <c r="A17" t="s" s="77">
        <v>39</v>
      </c>
      <c r="B17" t="s" s="102">
        <v>51</v>
      </c>
      <c r="C17" s="79">
        <v>9</v>
      </c>
      <c r="D17" s="80" cm="1">
        <f t="array" ref="D17">RANK(C17,C$9:C$20,1)</f>
        <v>9</v>
      </c>
      <c r="E17" s="81" cm="1">
        <f t="array" ref="E17">LN(LN(1/(1-((D17-0.3)/(12+0.4)))))</f>
        <v>0.19009431462729</v>
      </c>
      <c r="F17" s="81" cm="1">
        <f t="array" ref="F17">LN(C17)</f>
        <v>2.19722457733622</v>
      </c>
      <c r="G17" s="94"/>
      <c r="H17" s="95"/>
      <c r="I17" s="58"/>
      <c r="J17" s="57"/>
      <c r="K17" s="58"/>
      <c r="L17" s="58"/>
      <c r="M17" s="58"/>
      <c r="N17" s="58"/>
    </row>
    <row r="18" ht="21" customHeight="1">
      <c r="A18" s="87"/>
      <c r="B18" t="s" s="88">
        <v>55</v>
      </c>
      <c r="C18" s="79">
        <v>10</v>
      </c>
      <c r="D18" s="80" cm="1">
        <f t="array" ref="D18">RANK(C18,C$9:C$20,1)</f>
        <v>11</v>
      </c>
      <c r="E18" s="81" cm="1">
        <f t="array" ref="E18">LN(LN(1/(1-((D18-0.3)/(12+0.4)))))</f>
        <v>0.686660296925337</v>
      </c>
      <c r="F18" s="81" cm="1">
        <f t="array" ref="F18">LN(C18)</f>
        <v>2.30258509299405</v>
      </c>
      <c r="G18" s="74"/>
      <c r="H18" s="58"/>
      <c r="I18" s="58"/>
      <c r="J18" s="109"/>
      <c r="K18" s="58"/>
      <c r="L18" s="58"/>
      <c r="M18" s="58"/>
      <c r="N18" s="58"/>
    </row>
    <row r="19" ht="21" customHeight="1">
      <c r="A19" s="87"/>
      <c r="B19" t="s" s="93">
        <v>60</v>
      </c>
      <c r="C19" s="79">
        <v>7</v>
      </c>
      <c r="D19" s="80" cm="1">
        <f t="array" ref="D19">RANK(C19,C$9:C$20,1)</f>
        <v>7</v>
      </c>
      <c r="E19" s="81" cm="1">
        <f t="array" ref="E19">LN(LN(1/(1-((D19-0.3)/(12+0.4)))))</f>
        <v>-0.252018579003364</v>
      </c>
      <c r="F19" s="81" cm="1">
        <f t="array" ref="F19">LN(C19)</f>
        <v>1.94591014905531</v>
      </c>
      <c r="G19" s="110"/>
      <c r="H19" s="111"/>
      <c r="I19" s="58"/>
      <c r="J19" s="57"/>
      <c r="K19" s="58"/>
      <c r="L19" s="58"/>
      <c r="M19" s="58"/>
      <c r="N19" s="58"/>
    </row>
    <row r="20" ht="21" customHeight="1">
      <c r="A20" s="87"/>
      <c r="B20" t="s" s="100">
        <v>63</v>
      </c>
      <c r="C20" s="79">
        <v>9</v>
      </c>
      <c r="D20" s="80" cm="1">
        <f t="array" ref="D20">RANK(C20,C$9:C$20,1)</f>
        <v>9</v>
      </c>
      <c r="E20" s="81" cm="1">
        <f t="array" ref="E20">LN(LN(1/(1-((D20-0.3)/(12+0.4)))))</f>
        <v>0.19009431462729</v>
      </c>
      <c r="F20" s="81" cm="1">
        <f t="array" ref="F20">LN(C20)</f>
        <v>2.19722457733622</v>
      </c>
      <c r="G20" s="94"/>
      <c r="H20" s="95"/>
      <c r="I20" s="58"/>
      <c r="J20" s="57"/>
      <c r="K20" s="58"/>
      <c r="L20" s="58"/>
      <c r="M20" s="58"/>
      <c r="N20" s="58"/>
    </row>
    <row r="21" ht="21" customHeight="1">
      <c r="A21" s="112"/>
      <c r="B21" t="s" s="113">
        <v>65</v>
      </c>
      <c r="C21" s="114" cm="1">
        <f t="array" ref="C21">C23</f>
        <v>10.0309525863604</v>
      </c>
      <c r="D21" s="115"/>
      <c r="E21" s="116"/>
      <c r="F21" s="116"/>
      <c r="G21" s="58"/>
      <c r="H21" s="58"/>
      <c r="I21" s="58"/>
      <c r="J21" s="57"/>
      <c r="K21" s="58"/>
      <c r="L21" s="58"/>
      <c r="M21" s="58"/>
      <c r="N21" s="58"/>
    </row>
    <row r="22" ht="28.8" customHeight="1">
      <c r="A22" s="57"/>
      <c r="B22" s="117"/>
      <c r="C22" s="118"/>
      <c r="D22" s="95"/>
      <c r="E22" s="119"/>
      <c r="F22" s="119"/>
      <c r="G22" s="95"/>
      <c r="H22" s="120"/>
      <c r="I22" s="121"/>
      <c r="J22" s="122"/>
      <c r="K22" s="123"/>
      <c r="L22" s="58"/>
      <c r="M22" s="58"/>
      <c r="N22" s="58"/>
    </row>
    <row r="23" ht="79.2" customHeight="1">
      <c r="A23" s="124"/>
      <c r="B23" t="s" s="125">
        <v>66</v>
      </c>
      <c r="C23" s="126" cm="1">
        <f t="array" ref="C23">EXP(((LN(-LN(1-84%)))/(J9))+(LN(J10)))</f>
        <v>10.0309525863604</v>
      </c>
      <c r="D23" s="94"/>
      <c r="E23" s="119"/>
      <c r="F23" s="119"/>
      <c r="G23" s="95"/>
      <c r="H23" s="127"/>
      <c r="I23" s="123"/>
      <c r="J23" s="122"/>
      <c r="K23" s="123"/>
      <c r="L23" s="58"/>
      <c r="M23" s="58"/>
      <c r="N23" s="58"/>
    </row>
    <row r="24" ht="79.2" customHeight="1">
      <c r="A24" s="124"/>
      <c r="B24" t="s" s="128">
        <v>67</v>
      </c>
      <c r="C24" s="129" cm="1">
        <f t="array" ref="C24">LN(1-75%)/(-1/M11)</f>
        <v>8.548815226905999</v>
      </c>
      <c r="D24" s="130"/>
      <c r="E24" s="58"/>
      <c r="F24" s="58"/>
      <c r="G24" s="123"/>
      <c r="H24" s="131"/>
      <c r="I24" s="123"/>
      <c r="J24" s="122"/>
      <c r="K24" s="123"/>
      <c r="L24" s="58"/>
      <c r="M24" s="58"/>
      <c r="N24" s="58"/>
    </row>
    <row r="25" ht="28.8" customHeight="1">
      <c r="A25" s="57"/>
      <c r="B25" s="132"/>
      <c r="C25" s="133"/>
      <c r="D25" s="58"/>
      <c r="E25" s="58"/>
      <c r="F25" s="58"/>
      <c r="G25" s="123"/>
      <c r="H25" s="131"/>
      <c r="I25" s="123"/>
      <c r="J25" s="122"/>
      <c r="K25" s="123"/>
      <c r="L25" s="58"/>
      <c r="M25" s="58"/>
      <c r="N25" s="58"/>
    </row>
    <row r="26" ht="28.8" customHeight="1">
      <c r="A26" s="134"/>
      <c r="B26" t="s" s="135">
        <v>68</v>
      </c>
      <c r="C26" s="136" cm="1">
        <f t="array" ref="C26">STDEVP(C9:C20)</f>
        <v>2.85287379477061</v>
      </c>
      <c r="D26" s="94"/>
      <c r="E26" s="95"/>
      <c r="F26" s="95"/>
      <c r="G26" s="123"/>
      <c r="H26" s="137"/>
      <c r="I26" s="123"/>
      <c r="J26" s="122"/>
      <c r="K26" s="123"/>
      <c r="L26" s="58"/>
      <c r="M26" s="58"/>
      <c r="N26" s="58"/>
    </row>
    <row r="27" ht="28.8" customHeight="1">
      <c r="A27" s="134"/>
      <c r="B27" t="s" s="135">
        <v>69</v>
      </c>
      <c r="C27" s="138" cm="1">
        <f t="array" ref="C27">C23+(NORMSDIST(0.99)*(C26/SQRT(12)))</f>
        <v>10.7218424648666</v>
      </c>
      <c r="D27" s="139"/>
      <c r="E27" s="95"/>
      <c r="F27" s="95"/>
      <c r="G27" s="123"/>
      <c r="H27" s="123"/>
      <c r="I27" s="123"/>
      <c r="J27" s="122"/>
      <c r="K27" s="123"/>
      <c r="L27" s="58"/>
      <c r="M27" s="58"/>
      <c r="N27" s="58"/>
    </row>
    <row r="28" ht="28.8" customHeight="1">
      <c r="A28" s="134"/>
      <c r="B28" t="s" s="135">
        <v>70</v>
      </c>
      <c r="C28" s="140" cm="1">
        <f t="array" ref="C28">C23-(NORMSDIST(0.99)*(C26/SQRT(12)))</f>
        <v>9.340062707854241</v>
      </c>
      <c r="D28" s="139"/>
      <c r="E28" s="95"/>
      <c r="F28" s="95"/>
      <c r="G28" s="123"/>
      <c r="H28" s="123"/>
      <c r="I28" s="123"/>
      <c r="J28" s="122"/>
      <c r="K28" s="123"/>
      <c r="L28" s="58"/>
      <c r="M28" s="58"/>
      <c r="N28" s="58"/>
    </row>
    <row r="29" ht="28.8" customHeight="1">
      <c r="A29" s="57"/>
      <c r="B29" s="51"/>
      <c r="C29" s="141"/>
      <c r="D29" s="58"/>
      <c r="E29" s="58"/>
      <c r="F29" s="58"/>
      <c r="G29" s="123"/>
      <c r="H29" s="131"/>
      <c r="I29" s="123"/>
      <c r="J29" s="122"/>
      <c r="K29" s="123"/>
      <c r="L29" s="58"/>
      <c r="M29" s="58"/>
      <c r="N29" s="58"/>
    </row>
    <row r="30" ht="28.8" customHeight="1">
      <c r="A30" s="57"/>
      <c r="B30" s="58"/>
      <c r="C30" s="142"/>
      <c r="D30" s="58"/>
      <c r="E30" s="58"/>
      <c r="F30" s="58"/>
      <c r="G30" s="123"/>
      <c r="H30" s="131"/>
      <c r="I30" s="123"/>
      <c r="J30" s="122"/>
      <c r="K30" s="123"/>
      <c r="L30" s="58"/>
      <c r="M30" s="58"/>
      <c r="N30" s="58"/>
    </row>
    <row r="31" ht="17.4" customHeight="1">
      <c r="A31" s="57"/>
      <c r="B31" s="58"/>
      <c r="C31" s="58"/>
      <c r="D31" s="58"/>
      <c r="E31" s="58"/>
      <c r="F31" s="58"/>
      <c r="G31" s="58"/>
      <c r="H31" s="58"/>
      <c r="I31" s="58"/>
      <c r="J31" s="57"/>
      <c r="K31" s="58"/>
      <c r="L31" s="58"/>
      <c r="M31" s="58"/>
      <c r="N31" s="58"/>
    </row>
    <row r="32" ht="17.4" customHeight="1">
      <c r="A32" s="57"/>
      <c r="B32" s="58"/>
      <c r="C32" s="58"/>
      <c r="D32" s="58"/>
      <c r="E32" s="58"/>
      <c r="F32" s="58"/>
      <c r="G32" s="58"/>
      <c r="H32" s="58"/>
      <c r="I32" s="58"/>
      <c r="J32" s="57"/>
      <c r="K32" s="58"/>
      <c r="L32" s="58"/>
      <c r="M32" s="58"/>
      <c r="N32" s="58"/>
    </row>
    <row r="33" ht="17.4" customHeight="1">
      <c r="A33" s="61"/>
      <c r="B33" s="123"/>
      <c r="C33" s="143"/>
      <c r="D33" s="58"/>
      <c r="E33" s="58"/>
      <c r="F33" s="58"/>
      <c r="G33" s="58"/>
      <c r="H33" s="58"/>
      <c r="I33" s="144"/>
      <c r="J33" s="57"/>
      <c r="K33" s="58"/>
      <c r="L33" s="58"/>
      <c r="M33" s="58"/>
      <c r="N33" s="58"/>
    </row>
    <row r="34" ht="17.4" customHeight="1">
      <c r="A34" s="61"/>
      <c r="B34" s="123"/>
      <c r="C34" s="143"/>
      <c r="D34" s="58"/>
      <c r="E34" s="58"/>
      <c r="F34" s="145"/>
      <c r="G34" s="58"/>
      <c r="H34" s="58"/>
      <c r="I34" s="58"/>
      <c r="J34" s="57"/>
      <c r="K34" s="58"/>
      <c r="L34" s="58"/>
      <c r="M34" s="58"/>
      <c r="N34" s="58"/>
    </row>
    <row r="35" ht="17.4" customHeight="1">
      <c r="A35" s="61"/>
      <c r="B35" s="123"/>
      <c r="C35" s="143"/>
      <c r="D35" s="58"/>
      <c r="E35" s="58"/>
      <c r="F35" s="146"/>
      <c r="G35" s="58"/>
      <c r="H35" s="58"/>
      <c r="I35" s="58"/>
      <c r="J35" s="57"/>
      <c r="K35" s="58"/>
      <c r="L35" s="58"/>
      <c r="M35" s="58"/>
      <c r="N35" s="58"/>
    </row>
    <row r="36" ht="17.4" customHeight="1">
      <c r="A36" s="61"/>
      <c r="B36" s="123"/>
      <c r="C36" s="143"/>
      <c r="D36" s="58"/>
      <c r="E36" s="58"/>
      <c r="F36" s="147"/>
      <c r="G36" s="58"/>
      <c r="H36" s="58"/>
      <c r="I36" s="58"/>
      <c r="J36" s="57"/>
      <c r="K36" s="58"/>
      <c r="L36" s="58"/>
      <c r="M36" s="58"/>
      <c r="N36" s="58"/>
    </row>
    <row r="37" ht="17.4" customHeight="1">
      <c r="A37" s="57"/>
      <c r="B37" s="58"/>
      <c r="C37" s="58"/>
      <c r="D37" s="58"/>
      <c r="E37" s="58"/>
      <c r="F37" s="58"/>
      <c r="G37" s="58"/>
      <c r="H37" s="58"/>
      <c r="I37" s="58"/>
      <c r="J37" s="57"/>
      <c r="K37" s="58"/>
      <c r="L37" s="58"/>
      <c r="M37" s="58"/>
      <c r="N37" s="58"/>
    </row>
    <row r="38" ht="17.4" customHeight="1">
      <c r="A38" s="57"/>
      <c r="B38" s="58"/>
      <c r="C38" s="58"/>
      <c r="D38" s="58"/>
      <c r="E38" s="58"/>
      <c r="F38" s="58"/>
      <c r="G38" s="58"/>
      <c r="H38" s="58"/>
      <c r="I38" s="58"/>
      <c r="J38" s="57"/>
      <c r="K38" s="58"/>
      <c r="L38" s="58"/>
      <c r="M38" s="58"/>
      <c r="N38" s="58"/>
    </row>
    <row r="39" ht="17.4" customHeight="1">
      <c r="A39" s="57"/>
      <c r="B39" s="58"/>
      <c r="C39" s="58"/>
      <c r="D39" s="58"/>
      <c r="E39" s="58"/>
      <c r="F39" s="58"/>
      <c r="G39" s="58"/>
      <c r="H39" s="58"/>
      <c r="I39" s="58"/>
      <c r="J39" s="57"/>
      <c r="K39" s="58"/>
      <c r="L39" s="58"/>
      <c r="M39" s="58"/>
      <c r="N39" s="58"/>
    </row>
    <row r="40" ht="17.4" customHeight="1">
      <c r="A40" s="57"/>
      <c r="B40" s="58"/>
      <c r="C40" s="58"/>
      <c r="D40" s="58"/>
      <c r="E40" s="58"/>
      <c r="F40" s="58"/>
      <c r="G40" s="58"/>
      <c r="H40" s="58"/>
      <c r="I40" s="58"/>
      <c r="J40" s="57"/>
      <c r="K40" s="58"/>
      <c r="L40" s="58"/>
      <c r="M40" s="58"/>
      <c r="N40" s="58"/>
    </row>
    <row r="41" ht="17.4" customHeight="1">
      <c r="A41" s="57"/>
      <c r="B41" s="58"/>
      <c r="C41" s="58"/>
      <c r="D41" s="58"/>
      <c r="E41" s="58"/>
      <c r="F41" s="58"/>
      <c r="G41" s="58"/>
      <c r="H41" s="58"/>
      <c r="I41" s="58"/>
      <c r="J41" s="57"/>
      <c r="K41" s="58"/>
      <c r="L41" s="58"/>
      <c r="M41" s="58"/>
      <c r="N41" s="58"/>
    </row>
    <row r="42" ht="17.4" customHeight="1">
      <c r="A42" s="57"/>
      <c r="B42" s="58"/>
      <c r="C42" s="58"/>
      <c r="D42" s="58"/>
      <c r="E42" s="58"/>
      <c r="F42" s="58"/>
      <c r="G42" s="58"/>
      <c r="H42" s="58"/>
      <c r="I42" s="58"/>
      <c r="J42" s="57"/>
      <c r="K42" s="58"/>
      <c r="L42" s="58"/>
      <c r="M42" s="58"/>
      <c r="N42" s="58"/>
    </row>
    <row r="43" ht="17.4" customHeight="1">
      <c r="A43" s="57"/>
      <c r="B43" s="58"/>
      <c r="C43" s="58"/>
      <c r="D43" s="58"/>
      <c r="E43" s="58"/>
      <c r="F43" s="58"/>
      <c r="G43" s="58"/>
      <c r="H43" s="58"/>
      <c r="I43" s="58"/>
      <c r="J43" s="57"/>
      <c r="K43" s="58"/>
      <c r="L43" s="58"/>
      <c r="M43" s="58"/>
      <c r="N43" s="58"/>
    </row>
    <row r="44" ht="17.4" customHeight="1">
      <c r="A44" s="57"/>
      <c r="B44" s="58"/>
      <c r="C44" s="58"/>
      <c r="D44" s="58"/>
      <c r="E44" s="58"/>
      <c r="F44" s="58"/>
      <c r="G44" s="58"/>
      <c r="H44" s="58"/>
      <c r="I44" s="58"/>
      <c r="J44" s="57"/>
      <c r="K44" s="58"/>
      <c r="L44" s="58"/>
      <c r="M44" s="58"/>
      <c r="N44" s="58"/>
    </row>
    <row r="45" ht="17.4" customHeight="1">
      <c r="A45" s="57"/>
      <c r="B45" s="58"/>
      <c r="C45" s="58"/>
      <c r="D45" s="58"/>
      <c r="E45" s="58"/>
      <c r="F45" s="58"/>
      <c r="G45" s="58"/>
      <c r="H45" s="58"/>
      <c r="I45" s="58"/>
      <c r="J45" s="57"/>
      <c r="K45" s="58"/>
      <c r="L45" s="58"/>
      <c r="M45" s="58"/>
      <c r="N45" s="58"/>
    </row>
    <row r="46" ht="17.4" customHeight="1">
      <c r="A46" s="57"/>
      <c r="B46" s="58"/>
      <c r="C46" s="58"/>
      <c r="D46" s="58"/>
      <c r="E46" s="58"/>
      <c r="F46" s="58"/>
      <c r="G46" s="58"/>
      <c r="H46" s="58"/>
      <c r="I46" s="58"/>
      <c r="J46" s="57"/>
      <c r="K46" s="58"/>
      <c r="L46" s="58"/>
      <c r="M46" s="58"/>
      <c r="N46" s="58"/>
    </row>
    <row r="47" ht="17.4" customHeight="1">
      <c r="A47" s="57"/>
      <c r="B47" s="58"/>
      <c r="C47" s="58"/>
      <c r="D47" s="58"/>
      <c r="E47" s="58"/>
      <c r="F47" s="58"/>
      <c r="G47" s="58"/>
      <c r="H47" s="58"/>
      <c r="I47" s="58"/>
      <c r="J47" s="57"/>
      <c r="K47" s="58"/>
      <c r="L47" s="58"/>
      <c r="M47" s="58"/>
      <c r="N47" s="58"/>
    </row>
    <row r="48" ht="23.4" customHeight="1">
      <c r="A48" s="61"/>
      <c r="B48" s="123"/>
      <c r="C48" s="143"/>
      <c r="D48" s="58"/>
      <c r="E48" s="58"/>
      <c r="F48" s="148"/>
      <c r="G48" s="58"/>
      <c r="H48" s="58"/>
      <c r="I48" s="58"/>
      <c r="J48" s="57"/>
      <c r="K48" s="58"/>
      <c r="L48" s="58"/>
      <c r="M48" s="58"/>
      <c r="N48" s="58"/>
    </row>
    <row r="49" ht="17.4" customHeight="1">
      <c r="A49" s="57"/>
      <c r="B49" s="58"/>
      <c r="C49" s="58"/>
      <c r="D49" s="58"/>
      <c r="E49" s="58"/>
      <c r="F49" s="58"/>
      <c r="G49" s="58"/>
      <c r="H49" s="58"/>
      <c r="I49" s="58"/>
      <c r="J49" s="57"/>
      <c r="K49" s="58"/>
      <c r="L49" s="58"/>
      <c r="M49" s="58"/>
      <c r="N49" s="58"/>
    </row>
    <row r="50" ht="17.4" customHeight="1">
      <c r="A50" s="57"/>
      <c r="B50" s="58"/>
      <c r="C50" s="58"/>
      <c r="D50" s="58"/>
      <c r="E50" s="58"/>
      <c r="F50" s="58"/>
      <c r="G50" s="58"/>
      <c r="H50" s="58"/>
      <c r="I50" s="58"/>
      <c r="J50" s="57"/>
      <c r="K50" s="58"/>
      <c r="L50" s="58"/>
      <c r="M50" s="58"/>
      <c r="N50" s="58"/>
    </row>
    <row r="51" ht="17.4" customHeight="1">
      <c r="A51" s="57"/>
      <c r="B51" s="58"/>
      <c r="C51" s="58"/>
      <c r="D51" s="58"/>
      <c r="E51" s="58"/>
      <c r="F51" s="58"/>
      <c r="G51" s="58"/>
      <c r="H51" s="58"/>
      <c r="I51" s="58"/>
      <c r="J51" s="57"/>
      <c r="K51" s="58"/>
      <c r="L51" s="58"/>
      <c r="M51" s="58"/>
      <c r="N51" s="58"/>
    </row>
    <row r="52" ht="17.4" customHeight="1">
      <c r="A52" s="57"/>
      <c r="B52" s="58"/>
      <c r="C52" s="58"/>
      <c r="D52" s="58"/>
      <c r="E52" s="58"/>
      <c r="F52" s="58"/>
      <c r="G52" s="58"/>
      <c r="H52" s="58"/>
      <c r="I52" s="58"/>
      <c r="J52" s="57"/>
      <c r="K52" s="58"/>
      <c r="L52" s="58"/>
      <c r="M52" s="58"/>
      <c r="N52" s="58"/>
    </row>
    <row r="53" ht="17.4" customHeight="1">
      <c r="A53" s="57"/>
      <c r="B53" s="58"/>
      <c r="C53" s="58"/>
      <c r="D53" s="58"/>
      <c r="E53" s="58"/>
      <c r="F53" s="58"/>
      <c r="G53" s="58"/>
      <c r="H53" s="58"/>
      <c r="I53" s="58"/>
      <c r="J53" s="57"/>
      <c r="K53" s="58"/>
      <c r="L53" s="58"/>
      <c r="M53" s="58"/>
      <c r="N53" s="58"/>
    </row>
    <row r="54" ht="17.4" customHeight="1">
      <c r="A54" s="57"/>
      <c r="B54" s="58"/>
      <c r="C54" s="58"/>
      <c r="D54" s="58"/>
      <c r="E54" s="58"/>
      <c r="F54" s="58"/>
      <c r="G54" s="58"/>
      <c r="H54" s="58"/>
      <c r="I54" s="58"/>
      <c r="J54" s="57"/>
      <c r="K54" s="58"/>
      <c r="L54" s="58"/>
      <c r="M54" s="58"/>
      <c r="N54" s="58"/>
    </row>
    <row r="55" ht="17.4" customHeight="1">
      <c r="A55" s="57"/>
      <c r="B55" s="58"/>
      <c r="C55" s="58"/>
      <c r="D55" s="58"/>
      <c r="E55" s="58"/>
      <c r="F55" s="58"/>
      <c r="G55" s="58"/>
      <c r="H55" s="58"/>
      <c r="I55" s="58"/>
      <c r="J55" s="57"/>
      <c r="K55" s="58"/>
      <c r="L55" s="58"/>
      <c r="M55" s="58"/>
      <c r="N55" s="58"/>
    </row>
    <row r="56" ht="17.4" customHeight="1">
      <c r="A56" s="57"/>
      <c r="B56" s="58"/>
      <c r="C56" s="58"/>
      <c r="D56" s="58"/>
      <c r="E56" s="58"/>
      <c r="F56" s="58"/>
      <c r="G56" s="58"/>
      <c r="H56" s="58"/>
      <c r="I56" s="58"/>
      <c r="J56" s="57"/>
      <c r="K56" s="58"/>
      <c r="L56" s="58"/>
      <c r="M56" s="58"/>
      <c r="N56" s="58"/>
    </row>
    <row r="57" ht="17.4" customHeight="1">
      <c r="A57" s="57"/>
      <c r="B57" s="58"/>
      <c r="C57" s="58"/>
      <c r="D57" s="58"/>
      <c r="E57" s="58"/>
      <c r="F57" s="58"/>
      <c r="G57" s="58"/>
      <c r="H57" s="58"/>
      <c r="I57" s="58"/>
      <c r="J57" s="57"/>
      <c r="K57" s="58"/>
      <c r="L57" s="58"/>
      <c r="M57" s="58"/>
      <c r="N57" s="58"/>
    </row>
    <row r="58" ht="17.4" customHeight="1">
      <c r="A58" s="57"/>
      <c r="B58" s="58"/>
      <c r="C58" s="58"/>
      <c r="D58" s="58"/>
      <c r="E58" s="58"/>
      <c r="F58" s="58"/>
      <c r="G58" s="58"/>
      <c r="H58" s="58"/>
      <c r="I58" s="58"/>
      <c r="J58" s="57"/>
      <c r="K58" s="58"/>
      <c r="L58" s="58"/>
      <c r="M58" s="58"/>
      <c r="N58" s="58"/>
    </row>
    <row r="59" ht="17.4" customHeight="1">
      <c r="A59" s="57"/>
      <c r="B59" s="58"/>
      <c r="C59" s="58"/>
      <c r="D59" s="58"/>
      <c r="E59" s="58"/>
      <c r="F59" s="58"/>
      <c r="G59" s="58"/>
      <c r="H59" s="58"/>
      <c r="I59" s="58"/>
      <c r="J59" s="57"/>
      <c r="K59" s="58"/>
      <c r="L59" s="58"/>
      <c r="M59" s="58"/>
      <c r="N59" s="58"/>
    </row>
    <row r="60" ht="17.4" customHeight="1">
      <c r="A60" s="57"/>
      <c r="B60" s="58"/>
      <c r="C60" s="58"/>
      <c r="D60" s="58"/>
      <c r="E60" s="58"/>
      <c r="F60" s="58"/>
      <c r="G60" s="58"/>
      <c r="H60" s="58"/>
      <c r="I60" s="58"/>
      <c r="J60" s="57"/>
      <c r="K60" s="58"/>
      <c r="L60" s="58"/>
      <c r="M60" s="58"/>
      <c r="N60" s="58"/>
    </row>
    <row r="61" ht="17.4" customHeight="1">
      <c r="A61" s="57"/>
      <c r="B61" s="58"/>
      <c r="C61" s="58"/>
      <c r="D61" s="58"/>
      <c r="E61" s="58"/>
      <c r="F61" s="58"/>
      <c r="G61" s="58"/>
      <c r="H61" s="58"/>
      <c r="I61" s="58"/>
      <c r="J61" s="57"/>
      <c r="K61" s="58"/>
      <c r="L61" s="58"/>
      <c r="M61" s="58"/>
      <c r="N61" s="58"/>
    </row>
    <row r="62" ht="17.4" customHeight="1">
      <c r="A62" s="57"/>
      <c r="B62" s="58"/>
      <c r="C62" s="58"/>
      <c r="D62" s="58"/>
      <c r="E62" s="58"/>
      <c r="F62" s="58"/>
      <c r="G62" s="58"/>
      <c r="H62" s="58"/>
      <c r="I62" s="58"/>
      <c r="J62" s="57"/>
      <c r="K62" s="58"/>
      <c r="L62" s="58"/>
      <c r="M62" s="58"/>
      <c r="N62" s="58"/>
    </row>
    <row r="63" ht="17.4" customHeight="1">
      <c r="A63" s="57"/>
      <c r="B63" s="58"/>
      <c r="C63" s="58"/>
      <c r="D63" s="58"/>
      <c r="E63" s="58"/>
      <c r="F63" s="58"/>
      <c r="G63" s="58"/>
      <c r="H63" s="58"/>
      <c r="I63" s="58"/>
      <c r="J63" s="57"/>
      <c r="K63" s="58"/>
      <c r="L63" s="58"/>
      <c r="M63" s="58"/>
      <c r="N63" s="58"/>
    </row>
    <row r="64" ht="17.4" customHeight="1">
      <c r="A64" s="57"/>
      <c r="B64" s="58"/>
      <c r="C64" s="58"/>
      <c r="D64" s="58"/>
      <c r="E64" s="58"/>
      <c r="F64" s="58"/>
      <c r="G64" s="58"/>
      <c r="H64" s="58"/>
      <c r="I64" s="58"/>
      <c r="J64" s="57"/>
      <c r="K64" s="58"/>
      <c r="L64" s="58"/>
      <c r="M64" s="58"/>
      <c r="N64" s="58"/>
    </row>
    <row r="65" ht="17.4" customHeight="1">
      <c r="A65" s="57"/>
      <c r="B65" s="58"/>
      <c r="C65" s="58"/>
      <c r="D65" s="58"/>
      <c r="E65" s="58"/>
      <c r="F65" s="58"/>
      <c r="G65" s="58"/>
      <c r="H65" s="58"/>
      <c r="I65" s="58"/>
      <c r="J65" s="57"/>
      <c r="K65" s="58"/>
      <c r="L65" s="58"/>
      <c r="M65" s="58"/>
      <c r="N65" s="58"/>
    </row>
    <row r="66" ht="17.4" customHeight="1">
      <c r="A66" s="57"/>
      <c r="B66" s="58"/>
      <c r="C66" s="58"/>
      <c r="D66" s="58"/>
      <c r="E66" s="58"/>
      <c r="F66" s="58"/>
      <c r="G66" s="58"/>
      <c r="H66" s="58"/>
      <c r="I66" s="58"/>
      <c r="J66" s="57"/>
      <c r="K66" s="58"/>
      <c r="L66" s="58"/>
      <c r="M66" s="58"/>
      <c r="N66" s="58"/>
    </row>
    <row r="67" ht="17.4" customHeight="1">
      <c r="A67" s="57"/>
      <c r="B67" s="58"/>
      <c r="C67" s="58"/>
      <c r="D67" s="58"/>
      <c r="E67" s="58"/>
      <c r="F67" s="58"/>
      <c r="G67" s="58"/>
      <c r="H67" s="58"/>
      <c r="I67" s="58"/>
      <c r="J67" s="57"/>
      <c r="K67" s="58"/>
      <c r="L67" s="58"/>
      <c r="M67" s="58"/>
      <c r="N67" s="58"/>
    </row>
    <row r="68" ht="17.4" customHeight="1">
      <c r="A68" s="57"/>
      <c r="B68" s="58"/>
      <c r="C68" s="58"/>
      <c r="D68" s="58"/>
      <c r="E68" s="58"/>
      <c r="F68" s="58"/>
      <c r="G68" s="58"/>
      <c r="H68" s="58"/>
      <c r="I68" s="58"/>
      <c r="J68" s="57"/>
      <c r="K68" s="58"/>
      <c r="L68" s="58"/>
      <c r="M68" s="58"/>
      <c r="N68" s="58"/>
    </row>
    <row r="69" ht="17.4" customHeight="1">
      <c r="A69" s="57"/>
      <c r="B69" s="58"/>
      <c r="C69" s="58"/>
      <c r="D69" s="58"/>
      <c r="E69" s="58"/>
      <c r="F69" s="58"/>
      <c r="G69" s="58"/>
      <c r="H69" s="58"/>
      <c r="I69" s="58"/>
      <c r="J69" s="57"/>
      <c r="K69" s="58"/>
      <c r="L69" s="58"/>
      <c r="M69" s="58"/>
      <c r="N69" s="58"/>
    </row>
    <row r="70" ht="17.4" customHeight="1">
      <c r="A70" s="57"/>
      <c r="B70" s="58"/>
      <c r="C70" s="58"/>
      <c r="D70" s="58"/>
      <c r="E70" s="58"/>
      <c r="F70" s="58"/>
      <c r="G70" s="58"/>
      <c r="H70" s="58"/>
      <c r="I70" s="58"/>
      <c r="J70" s="57"/>
      <c r="K70" s="58"/>
      <c r="L70" s="58"/>
      <c r="M70" s="58"/>
      <c r="N70" s="58"/>
    </row>
    <row r="71" ht="17.4" customHeight="1">
      <c r="A71" s="57"/>
      <c r="B71" s="58"/>
      <c r="C71" s="58"/>
      <c r="D71" s="58"/>
      <c r="E71" s="58"/>
      <c r="F71" s="58"/>
      <c r="G71" s="58"/>
      <c r="H71" s="58"/>
      <c r="I71" s="58"/>
      <c r="J71" s="57"/>
      <c r="K71" s="58"/>
      <c r="L71" s="58"/>
      <c r="M71" s="58"/>
      <c r="N71" s="58"/>
    </row>
    <row r="72" ht="17.4" customHeight="1">
      <c r="A72" s="57"/>
      <c r="B72" s="58"/>
      <c r="C72" s="58"/>
      <c r="D72" s="58"/>
      <c r="E72" s="58"/>
      <c r="F72" s="58"/>
      <c r="G72" s="58"/>
      <c r="H72" s="58"/>
      <c r="I72" s="58"/>
      <c r="J72" s="57"/>
      <c r="K72" s="58"/>
      <c r="L72" s="58"/>
      <c r="M72" s="58"/>
      <c r="N72" s="58"/>
    </row>
    <row r="73" ht="17.4" customHeight="1">
      <c r="A73" s="57"/>
      <c r="B73" s="58"/>
      <c r="C73" s="58"/>
      <c r="D73" s="58"/>
      <c r="E73" s="58"/>
      <c r="F73" s="58"/>
      <c r="G73" s="58"/>
      <c r="H73" s="58"/>
      <c r="I73" s="58"/>
      <c r="J73" s="57"/>
      <c r="K73" s="58"/>
      <c r="L73" s="58"/>
      <c r="M73" s="58"/>
      <c r="N73" s="58"/>
    </row>
    <row r="74" ht="17.4" customHeight="1">
      <c r="A74" s="57"/>
      <c r="B74" s="58"/>
      <c r="C74" s="58"/>
      <c r="D74" s="58"/>
      <c r="E74" s="58"/>
      <c r="F74" s="58"/>
      <c r="G74" s="58"/>
      <c r="H74" s="58"/>
      <c r="I74" s="58"/>
      <c r="J74" s="57"/>
      <c r="K74" s="58"/>
      <c r="L74" s="58"/>
      <c r="M74" s="58"/>
      <c r="N74" s="58"/>
    </row>
    <row r="75" ht="17.4" customHeight="1">
      <c r="A75" s="57"/>
      <c r="B75" s="58"/>
      <c r="C75" s="58"/>
      <c r="D75" s="58"/>
      <c r="E75" s="58"/>
      <c r="F75" s="58"/>
      <c r="G75" s="58"/>
      <c r="H75" s="58"/>
      <c r="I75" s="58"/>
      <c r="J75" s="57"/>
      <c r="K75" s="58"/>
      <c r="L75" s="58"/>
      <c r="M75" s="58"/>
      <c r="N75" s="58"/>
    </row>
    <row r="76" ht="17.4" customHeight="1">
      <c r="A76" s="57"/>
      <c r="B76" s="58"/>
      <c r="C76" s="58"/>
      <c r="D76" s="58"/>
      <c r="E76" s="58"/>
      <c r="F76" s="58"/>
      <c r="G76" s="58"/>
      <c r="H76" s="58"/>
      <c r="I76" s="58"/>
      <c r="J76" s="57"/>
      <c r="K76" s="58"/>
      <c r="L76" s="58"/>
      <c r="M76" s="58"/>
      <c r="N76" s="58"/>
    </row>
    <row r="77" ht="17.4" customHeight="1">
      <c r="A77" s="57"/>
      <c r="B77" s="58"/>
      <c r="C77" s="58"/>
      <c r="D77" s="58"/>
      <c r="E77" s="58"/>
      <c r="F77" s="58"/>
      <c r="G77" s="58"/>
      <c r="H77" s="58"/>
      <c r="I77" s="58"/>
      <c r="J77" s="57"/>
      <c r="K77" s="58"/>
      <c r="L77" s="58"/>
      <c r="M77" s="58"/>
      <c r="N77" s="58"/>
    </row>
    <row r="78" ht="17.4" customHeight="1">
      <c r="A78" s="57"/>
      <c r="B78" s="58"/>
      <c r="C78" s="58"/>
      <c r="D78" s="58"/>
      <c r="E78" s="58"/>
      <c r="F78" s="58"/>
      <c r="G78" s="58"/>
      <c r="H78" s="58"/>
      <c r="I78" s="58"/>
      <c r="J78" s="57"/>
      <c r="K78" s="58"/>
      <c r="L78" s="58"/>
      <c r="M78" s="58"/>
      <c r="N78" s="58"/>
    </row>
    <row r="79" ht="17.4" customHeight="1">
      <c r="A79" s="57"/>
      <c r="B79" s="58"/>
      <c r="C79" s="58"/>
      <c r="D79" s="58"/>
      <c r="E79" s="58"/>
      <c r="F79" s="58"/>
      <c r="G79" s="58"/>
      <c r="H79" s="58"/>
      <c r="I79" s="58"/>
      <c r="J79" s="57"/>
      <c r="K79" s="58"/>
      <c r="L79" s="58"/>
      <c r="M79" s="58"/>
      <c r="N79" s="58"/>
    </row>
    <row r="80" ht="17.4" customHeight="1">
      <c r="A80" s="57"/>
      <c r="B80" s="58"/>
      <c r="C80" s="58"/>
      <c r="D80" s="58"/>
      <c r="E80" s="58"/>
      <c r="F80" s="58"/>
      <c r="G80" s="58"/>
      <c r="H80" s="58"/>
      <c r="I80" s="58"/>
      <c r="J80" s="57"/>
      <c r="K80" s="58"/>
      <c r="L80" s="58"/>
      <c r="M80" s="58"/>
      <c r="N80" s="58"/>
    </row>
    <row r="81" ht="17.4" customHeight="1">
      <c r="A81" s="57"/>
      <c r="B81" s="58"/>
      <c r="C81" s="58"/>
      <c r="D81" s="58"/>
      <c r="E81" s="58"/>
      <c r="F81" s="58"/>
      <c r="G81" s="58"/>
      <c r="H81" s="58"/>
      <c r="I81" s="58"/>
      <c r="J81" s="57"/>
      <c r="K81" s="58"/>
      <c r="L81" s="58"/>
      <c r="M81" s="58"/>
      <c r="N81" s="58"/>
    </row>
    <row r="82" ht="17.4" customHeight="1">
      <c r="A82" s="57"/>
      <c r="B82" s="58"/>
      <c r="C82" s="58"/>
      <c r="D82" s="58"/>
      <c r="E82" s="58"/>
      <c r="F82" s="58"/>
      <c r="G82" s="58"/>
      <c r="H82" s="58"/>
      <c r="I82" s="58"/>
      <c r="J82" s="57"/>
      <c r="K82" s="58"/>
      <c r="L82" s="58"/>
      <c r="M82" s="58"/>
      <c r="N82" s="58"/>
    </row>
    <row r="83" ht="17.4" customHeight="1">
      <c r="A83" s="57"/>
      <c r="B83" s="58"/>
      <c r="C83" s="58"/>
      <c r="D83" s="58"/>
      <c r="E83" s="58"/>
      <c r="F83" s="58"/>
      <c r="G83" s="58"/>
      <c r="H83" s="58"/>
      <c r="I83" s="58"/>
      <c r="J83" s="57"/>
      <c r="K83" s="58"/>
      <c r="L83" s="58"/>
      <c r="M83" s="58"/>
      <c r="N83" s="58"/>
    </row>
    <row r="84" ht="17.4" customHeight="1">
      <c r="A84" s="57"/>
      <c r="B84" s="58"/>
      <c r="C84" s="58"/>
      <c r="D84" s="58"/>
      <c r="E84" s="58"/>
      <c r="F84" s="58"/>
      <c r="G84" s="58"/>
      <c r="H84" s="58"/>
      <c r="I84" s="58"/>
      <c r="J84" s="57"/>
      <c r="K84" s="58"/>
      <c r="L84" s="58"/>
      <c r="M84" s="58"/>
      <c r="N84" s="58"/>
    </row>
    <row r="85" ht="17.4" customHeight="1">
      <c r="A85" s="57"/>
      <c r="B85" s="58"/>
      <c r="C85" s="58"/>
      <c r="D85" s="58"/>
      <c r="E85" s="58"/>
      <c r="F85" s="58"/>
      <c r="G85" s="58"/>
      <c r="H85" s="58"/>
      <c r="I85" s="58"/>
      <c r="J85" s="57"/>
      <c r="K85" s="58"/>
      <c r="L85" s="58"/>
      <c r="M85" s="58"/>
      <c r="N85" s="58"/>
    </row>
    <row r="86" ht="17.4" customHeight="1">
      <c r="A86" s="57"/>
      <c r="B86" s="58"/>
      <c r="C86" s="58"/>
      <c r="D86" s="58"/>
      <c r="E86" s="58"/>
      <c r="F86" s="58"/>
      <c r="G86" s="58"/>
      <c r="H86" s="58"/>
      <c r="I86" s="58"/>
      <c r="J86" s="57"/>
      <c r="K86" s="58"/>
      <c r="L86" s="58"/>
      <c r="M86" s="58"/>
      <c r="N86" s="58"/>
    </row>
    <row r="87" ht="17.4" customHeight="1">
      <c r="A87" s="57"/>
      <c r="B87" s="58"/>
      <c r="C87" s="58"/>
      <c r="D87" s="58"/>
      <c r="E87" s="58"/>
      <c r="F87" s="58"/>
      <c r="G87" s="58"/>
      <c r="H87" s="58"/>
      <c r="I87" s="58"/>
      <c r="J87" s="57"/>
      <c r="K87" s="58"/>
      <c r="L87" s="58"/>
      <c r="M87" s="58"/>
      <c r="N87" s="58"/>
    </row>
    <row r="88" ht="17.4" customHeight="1">
      <c r="A88" s="57"/>
      <c r="B88" s="58"/>
      <c r="C88" s="58"/>
      <c r="D88" s="58"/>
      <c r="E88" s="58"/>
      <c r="F88" s="58"/>
      <c r="G88" s="58"/>
      <c r="H88" s="58"/>
      <c r="I88" s="58"/>
      <c r="J88" s="57"/>
      <c r="K88" s="58"/>
      <c r="L88" s="58"/>
      <c r="M88" s="58"/>
      <c r="N88" s="58"/>
    </row>
    <row r="89" ht="17.4" customHeight="1">
      <c r="A89" s="57"/>
      <c r="B89" s="58"/>
      <c r="C89" s="58"/>
      <c r="D89" s="58"/>
      <c r="E89" s="58"/>
      <c r="F89" s="58"/>
      <c r="G89" s="58"/>
      <c r="H89" s="58"/>
      <c r="I89" s="58"/>
      <c r="J89" s="57"/>
      <c r="K89" s="58"/>
      <c r="L89" s="58"/>
      <c r="M89" s="58"/>
      <c r="N89" s="58"/>
    </row>
    <row r="90" ht="17.4" customHeight="1">
      <c r="A90" s="57"/>
      <c r="B90" s="58"/>
      <c r="C90" s="58"/>
      <c r="D90" s="58"/>
      <c r="E90" s="58"/>
      <c r="F90" s="58"/>
      <c r="G90" s="58"/>
      <c r="H90" s="58"/>
      <c r="I90" s="58"/>
      <c r="J90" s="57"/>
      <c r="K90" s="58"/>
      <c r="L90" s="58"/>
      <c r="M90" s="58"/>
      <c r="N90" s="58"/>
    </row>
    <row r="91" ht="17.4" customHeight="1">
      <c r="A91" s="57"/>
      <c r="B91" s="58"/>
      <c r="C91" s="58"/>
      <c r="D91" s="58"/>
      <c r="E91" s="58"/>
      <c r="F91" s="58"/>
      <c r="G91" s="58"/>
      <c r="H91" s="58"/>
      <c r="I91" s="58"/>
      <c r="J91" s="57"/>
      <c r="K91" s="58"/>
      <c r="L91" s="58"/>
      <c r="M91" s="58"/>
      <c r="N91" s="58"/>
    </row>
    <row r="92" ht="17.4" customHeight="1">
      <c r="A92" s="57"/>
      <c r="B92" s="58"/>
      <c r="C92" s="58"/>
      <c r="D92" s="58"/>
      <c r="E92" s="58"/>
      <c r="F92" s="58"/>
      <c r="G92" s="58"/>
      <c r="H92" s="58"/>
      <c r="I92" s="58"/>
      <c r="J92" s="57"/>
      <c r="K92" s="58"/>
      <c r="L92" s="58"/>
      <c r="M92" s="58"/>
      <c r="N92" s="58"/>
    </row>
    <row r="93" ht="17.4" customHeight="1">
      <c r="A93" s="57"/>
      <c r="B93" s="58"/>
      <c r="C93" s="58"/>
      <c r="D93" s="58"/>
      <c r="E93" s="58"/>
      <c r="F93" s="58"/>
      <c r="G93" s="58"/>
      <c r="H93" s="58"/>
      <c r="I93" s="58"/>
      <c r="J93" s="57"/>
      <c r="K93" s="58"/>
      <c r="L93" s="58"/>
      <c r="M93" s="58"/>
      <c r="N93" s="58"/>
    </row>
    <row r="94" ht="17.4" customHeight="1">
      <c r="A94" s="57"/>
      <c r="B94" s="58"/>
      <c r="C94" s="58"/>
      <c r="D94" s="58"/>
      <c r="E94" s="58"/>
      <c r="F94" s="58"/>
      <c r="G94" s="58"/>
      <c r="H94" s="58"/>
      <c r="I94" s="58"/>
      <c r="J94" s="57"/>
      <c r="K94" s="58"/>
      <c r="L94" s="58"/>
      <c r="M94" s="58"/>
      <c r="N94" s="58"/>
    </row>
    <row r="95" ht="17.4" customHeight="1">
      <c r="A95" s="57"/>
      <c r="B95" s="58"/>
      <c r="C95" s="58"/>
      <c r="D95" s="58"/>
      <c r="E95" s="58"/>
      <c r="F95" s="58"/>
      <c r="G95" s="58"/>
      <c r="H95" s="58"/>
      <c r="I95" s="58"/>
      <c r="J95" s="57"/>
      <c r="K95" s="58"/>
      <c r="L95" s="58"/>
      <c r="M95" s="58"/>
      <c r="N95" s="58"/>
    </row>
    <row r="96" ht="17.4" customHeight="1">
      <c r="A96" s="57"/>
      <c r="B96" s="58"/>
      <c r="C96" s="58"/>
      <c r="D96" s="58"/>
      <c r="E96" s="58"/>
      <c r="F96" s="58"/>
      <c r="G96" s="58"/>
      <c r="H96" s="58"/>
      <c r="I96" s="58"/>
      <c r="J96" s="57"/>
      <c r="K96" s="58"/>
      <c r="L96" s="58"/>
      <c r="M96" s="58"/>
      <c r="N96" s="58"/>
    </row>
    <row r="97" ht="17.4" customHeight="1">
      <c r="A97" s="57"/>
      <c r="B97" s="58"/>
      <c r="C97" s="58"/>
      <c r="D97" s="58"/>
      <c r="E97" s="58"/>
      <c r="F97" s="58"/>
      <c r="G97" s="58"/>
      <c r="H97" s="58"/>
      <c r="I97" s="58"/>
      <c r="J97" s="57"/>
      <c r="K97" s="58"/>
      <c r="L97" s="58"/>
      <c r="M97" s="58"/>
      <c r="N97" s="58"/>
    </row>
    <row r="98" ht="17.4" customHeight="1">
      <c r="A98" s="57"/>
      <c r="B98" s="58"/>
      <c r="C98" s="58"/>
      <c r="D98" s="58"/>
      <c r="E98" s="58"/>
      <c r="F98" s="58"/>
      <c r="G98" s="58"/>
      <c r="H98" s="58"/>
      <c r="I98" s="58"/>
      <c r="J98" s="57"/>
      <c r="K98" s="58"/>
      <c r="L98" s="58"/>
      <c r="M98" s="58"/>
      <c r="N98" s="58"/>
    </row>
    <row r="99" ht="17.4" customHeight="1">
      <c r="A99" s="57"/>
      <c r="B99" s="58"/>
      <c r="C99" s="58"/>
      <c r="D99" s="58"/>
      <c r="E99" s="58"/>
      <c r="F99" s="58"/>
      <c r="G99" s="58"/>
      <c r="H99" s="58"/>
      <c r="I99" s="58"/>
      <c r="J99" s="57"/>
      <c r="K99" s="58"/>
      <c r="L99" s="58"/>
      <c r="M99" s="58"/>
      <c r="N99" s="58"/>
    </row>
    <row r="100" ht="17.4" customHeight="1">
      <c r="A100" s="57"/>
      <c r="B100" s="58"/>
      <c r="C100" s="58"/>
      <c r="D100" s="58"/>
      <c r="E100" s="58"/>
      <c r="F100" s="58"/>
      <c r="G100" s="58"/>
      <c r="H100" s="58"/>
      <c r="I100" s="58"/>
      <c r="J100" s="57"/>
      <c r="K100" s="58"/>
      <c r="L100" s="58"/>
      <c r="M100" s="58"/>
      <c r="N100" s="58"/>
    </row>
    <row r="101" ht="17.4" customHeight="1">
      <c r="A101" s="57"/>
      <c r="B101" s="58"/>
      <c r="C101" s="58"/>
      <c r="D101" s="58"/>
      <c r="E101" s="58"/>
      <c r="F101" s="58"/>
      <c r="G101" s="58"/>
      <c r="H101" s="58"/>
      <c r="I101" s="58"/>
      <c r="J101" s="57"/>
      <c r="K101" s="58"/>
      <c r="L101" s="58"/>
      <c r="M101" s="58"/>
      <c r="N101" s="58"/>
    </row>
    <row r="102" ht="17.4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7"/>
      <c r="K102" s="58"/>
      <c r="L102" s="58"/>
      <c r="M102" s="58"/>
      <c r="N102" s="58"/>
    </row>
    <row r="103" ht="17.4" customHeight="1">
      <c r="A103" s="57"/>
      <c r="B103" s="58"/>
      <c r="C103" s="58"/>
      <c r="D103" s="58"/>
      <c r="E103" s="58"/>
      <c r="F103" s="58"/>
      <c r="G103" s="58"/>
      <c r="H103" s="58"/>
      <c r="I103" s="58"/>
      <c r="J103" s="57"/>
      <c r="K103" s="58"/>
      <c r="L103" s="58"/>
      <c r="M103" s="58"/>
      <c r="N103" s="58"/>
    </row>
    <row r="104" ht="17.4" customHeight="1">
      <c r="A104" s="57"/>
      <c r="B104" s="58"/>
      <c r="C104" s="58"/>
      <c r="D104" s="58"/>
      <c r="E104" s="58"/>
      <c r="F104" s="58"/>
      <c r="G104" s="58"/>
      <c r="H104" s="58"/>
      <c r="I104" s="58"/>
      <c r="J104" s="57"/>
      <c r="K104" s="58"/>
      <c r="L104" s="58"/>
      <c r="M104" s="58"/>
      <c r="N104" s="58"/>
    </row>
    <row r="105" ht="17.4" customHeight="1">
      <c r="A105" s="57"/>
      <c r="B105" s="58"/>
      <c r="C105" s="58"/>
      <c r="D105" s="58"/>
      <c r="E105" s="58"/>
      <c r="F105" s="58"/>
      <c r="G105" s="58"/>
      <c r="H105" s="58"/>
      <c r="I105" s="58"/>
      <c r="J105" s="57"/>
      <c r="K105" s="58"/>
      <c r="L105" s="58"/>
      <c r="M105" s="58"/>
      <c r="N105" s="58"/>
    </row>
    <row r="106" ht="17.4" customHeight="1">
      <c r="A106" s="57"/>
      <c r="B106" s="58"/>
      <c r="C106" s="58"/>
      <c r="D106" s="58"/>
      <c r="E106" s="58"/>
      <c r="F106" s="58"/>
      <c r="G106" s="58"/>
      <c r="H106" s="58"/>
      <c r="I106" s="58"/>
      <c r="J106" s="57"/>
      <c r="K106" s="58"/>
      <c r="L106" s="58"/>
      <c r="M106" s="58"/>
      <c r="N106" s="58"/>
    </row>
    <row r="107" ht="17.4" customHeight="1">
      <c r="A107" s="57"/>
      <c r="B107" s="58"/>
      <c r="C107" s="58"/>
      <c r="D107" s="58"/>
      <c r="E107" s="58"/>
      <c r="F107" s="58"/>
      <c r="G107" s="58"/>
      <c r="H107" s="58"/>
      <c r="I107" s="58"/>
      <c r="J107" s="57"/>
      <c r="K107" s="58"/>
      <c r="L107" s="58"/>
      <c r="M107" s="58"/>
      <c r="N107" s="58"/>
    </row>
    <row r="108" ht="17.4" customHeight="1">
      <c r="A108" s="57"/>
      <c r="B108" s="58"/>
      <c r="C108" s="58"/>
      <c r="D108" s="58"/>
      <c r="E108" s="58"/>
      <c r="F108" s="58"/>
      <c r="G108" s="58"/>
      <c r="H108" s="58"/>
      <c r="I108" s="58"/>
      <c r="J108" s="57"/>
      <c r="K108" s="58"/>
      <c r="L108" s="58"/>
      <c r="M108" s="58"/>
      <c r="N108" s="58"/>
    </row>
    <row r="109" ht="17.4" customHeight="1">
      <c r="A109" s="57"/>
      <c r="B109" s="58"/>
      <c r="C109" s="58"/>
      <c r="D109" s="58"/>
      <c r="E109" s="58"/>
      <c r="F109" s="58"/>
      <c r="G109" s="58"/>
      <c r="H109" s="58"/>
      <c r="I109" s="58"/>
      <c r="J109" s="57"/>
      <c r="K109" s="58"/>
      <c r="L109" s="58"/>
      <c r="M109" s="58"/>
      <c r="N109" s="58"/>
    </row>
    <row r="110" ht="17.4" customHeight="1">
      <c r="A110" s="57"/>
      <c r="B110" s="58"/>
      <c r="C110" s="58"/>
      <c r="D110" s="58"/>
      <c r="E110" s="58"/>
      <c r="F110" s="58"/>
      <c r="G110" s="58"/>
      <c r="H110" s="58"/>
      <c r="I110" s="58"/>
      <c r="J110" s="57"/>
      <c r="K110" s="58"/>
      <c r="L110" s="58"/>
      <c r="M110" s="58"/>
      <c r="N110" s="58"/>
    </row>
    <row r="111" ht="17.4" customHeight="1">
      <c r="A111" s="57"/>
      <c r="B111" s="58"/>
      <c r="C111" s="58"/>
      <c r="D111" s="58"/>
      <c r="E111" s="58"/>
      <c r="F111" s="58"/>
      <c r="G111" s="58"/>
      <c r="H111" s="58"/>
      <c r="I111" s="58"/>
      <c r="J111" s="57"/>
      <c r="K111" s="58"/>
      <c r="L111" s="58"/>
      <c r="M111" s="58"/>
      <c r="N111" s="58"/>
    </row>
    <row r="112" ht="17.4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7"/>
      <c r="K112" s="58"/>
      <c r="L112" s="58"/>
      <c r="M112" s="58"/>
      <c r="N112" s="58"/>
    </row>
    <row r="113" ht="17.4" customHeight="1">
      <c r="A113" s="57"/>
      <c r="B113" s="58"/>
      <c r="C113" s="58"/>
      <c r="D113" s="58"/>
      <c r="E113" s="58"/>
      <c r="F113" s="58"/>
      <c r="G113" s="58"/>
      <c r="H113" s="58"/>
      <c r="I113" s="58"/>
      <c r="J113" s="57"/>
      <c r="K113" s="58"/>
      <c r="L113" s="58"/>
      <c r="M113" s="58"/>
      <c r="N113" s="58"/>
    </row>
    <row r="114" ht="17.4" customHeight="1">
      <c r="A114" s="57"/>
      <c r="B114" s="58"/>
      <c r="C114" s="58"/>
      <c r="D114" s="58"/>
      <c r="E114" s="58"/>
      <c r="F114" s="58"/>
      <c r="G114" s="58"/>
      <c r="H114" s="58"/>
      <c r="I114" s="58"/>
      <c r="J114" s="57"/>
      <c r="K114" s="58"/>
      <c r="L114" s="58"/>
      <c r="M114" s="58"/>
      <c r="N114" s="58"/>
    </row>
    <row r="115" ht="17.4" customHeight="1">
      <c r="A115" s="57"/>
      <c r="B115" s="58"/>
      <c r="C115" s="58"/>
      <c r="D115" s="58"/>
      <c r="E115" s="58"/>
      <c r="F115" s="58"/>
      <c r="G115" s="58"/>
      <c r="H115" s="58"/>
      <c r="I115" s="58"/>
      <c r="J115" s="57"/>
      <c r="K115" s="58"/>
      <c r="L115" s="58"/>
      <c r="M115" s="58"/>
      <c r="N115" s="58"/>
    </row>
    <row r="116" ht="17.4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7"/>
      <c r="K116" s="58"/>
      <c r="L116" s="58"/>
      <c r="M116" s="58"/>
      <c r="N116" s="58"/>
    </row>
    <row r="117" ht="17.4" customHeight="1">
      <c r="A117" s="57"/>
      <c r="B117" s="58"/>
      <c r="C117" s="58"/>
      <c r="D117" s="58"/>
      <c r="E117" s="58"/>
      <c r="F117" s="58"/>
      <c r="G117" s="58"/>
      <c r="H117" s="58"/>
      <c r="I117" s="58"/>
      <c r="J117" s="57"/>
      <c r="K117" s="58"/>
      <c r="L117" s="58"/>
      <c r="M117" s="58"/>
      <c r="N117" s="58"/>
    </row>
    <row r="118" ht="17.4" customHeight="1">
      <c r="A118" s="57"/>
      <c r="B118" s="58"/>
      <c r="C118" s="58"/>
      <c r="D118" s="58"/>
      <c r="E118" s="58"/>
      <c r="F118" s="58"/>
      <c r="G118" s="58"/>
      <c r="H118" s="58"/>
      <c r="I118" s="58"/>
      <c r="J118" s="57"/>
      <c r="K118" s="58"/>
      <c r="L118" s="58"/>
      <c r="M118" s="58"/>
      <c r="N118" s="58"/>
    </row>
    <row r="119" ht="17.4" customHeight="1">
      <c r="A119" s="57"/>
      <c r="B119" s="58"/>
      <c r="C119" s="58"/>
      <c r="D119" s="58"/>
      <c r="E119" s="58"/>
      <c r="F119" s="58"/>
      <c r="G119" s="58"/>
      <c r="H119" s="58"/>
      <c r="I119" s="58"/>
      <c r="J119" s="57"/>
      <c r="K119" s="58"/>
      <c r="L119" s="58"/>
      <c r="M119" s="58"/>
      <c r="N119" s="58"/>
    </row>
    <row r="120" ht="17.4" customHeight="1">
      <c r="A120" s="57"/>
      <c r="B120" s="58"/>
      <c r="C120" s="58"/>
      <c r="D120" s="58"/>
      <c r="E120" s="58"/>
      <c r="F120" s="58"/>
      <c r="G120" s="58"/>
      <c r="H120" s="58"/>
      <c r="I120" s="58"/>
      <c r="J120" s="57"/>
      <c r="K120" s="58"/>
      <c r="L120" s="58"/>
      <c r="M120" s="58"/>
      <c r="N120" s="58"/>
    </row>
    <row r="121" ht="17.4" customHeight="1">
      <c r="A121" s="57"/>
      <c r="B121" s="58"/>
      <c r="C121" s="58"/>
      <c r="D121" s="58"/>
      <c r="E121" s="58"/>
      <c r="F121" s="58"/>
      <c r="G121" s="58"/>
      <c r="H121" s="58"/>
      <c r="I121" s="58"/>
      <c r="J121" s="57"/>
      <c r="K121" s="58"/>
      <c r="L121" s="58"/>
      <c r="M121" s="58"/>
      <c r="N121" s="58"/>
    </row>
    <row r="122" ht="17.4" customHeight="1">
      <c r="A122" s="57"/>
      <c r="B122" s="58"/>
      <c r="C122" s="58"/>
      <c r="D122" s="58"/>
      <c r="E122" s="58"/>
      <c r="F122" s="58"/>
      <c r="G122" s="58"/>
      <c r="H122" s="58"/>
      <c r="I122" s="58"/>
      <c r="J122" s="57"/>
      <c r="K122" s="58"/>
      <c r="L122" s="58"/>
      <c r="M122" s="58"/>
      <c r="N122" s="58"/>
    </row>
    <row r="123" ht="19.8" customHeight="1">
      <c r="A123" s="57"/>
      <c r="B123" s="58"/>
      <c r="C123" s="58"/>
      <c r="D123" s="58"/>
      <c r="E123" s="149"/>
      <c r="F123" s="58"/>
      <c r="G123" s="58"/>
      <c r="H123" s="58"/>
      <c r="I123" s="58"/>
      <c r="J123" s="57"/>
      <c r="K123" s="58"/>
      <c r="L123" s="58"/>
      <c r="M123" s="58"/>
      <c r="N123" s="58"/>
    </row>
  </sheetData>
  <mergeCells count="3">
    <mergeCell ref="A9:A12"/>
    <mergeCell ref="A13:A16"/>
    <mergeCell ref="A17:A20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K20"/>
  <sheetViews>
    <sheetView workbookViewId="0" showGridLines="0" defaultGridColor="1"/>
  </sheetViews>
  <sheetFormatPr defaultColWidth="17.5" defaultRowHeight="14.4" customHeight="1" outlineLevelRow="0" outlineLevelCol="0"/>
  <cols>
    <col min="1" max="1" width="8.5" style="150" customWidth="1"/>
    <col min="2" max="2" width="17.5" style="150" customWidth="1"/>
    <col min="3" max="3" width="28.8516" style="150" customWidth="1"/>
    <col min="4" max="4" width="30.3516" style="150" customWidth="1"/>
    <col min="5" max="5" width="6.35156" style="150" customWidth="1"/>
    <col min="6" max="6" width="6.67188" style="150" customWidth="1"/>
    <col min="7" max="7" width="5.67188" style="150" customWidth="1"/>
    <col min="8" max="8" width="6.17188" style="150" customWidth="1"/>
    <col min="9" max="9" width="5.67188" style="150" customWidth="1"/>
    <col min="10" max="10" width="30.5" style="150" customWidth="1"/>
    <col min="11" max="11" width="17.5" style="150" customWidth="1"/>
    <col min="12" max="16384" width="17.5" style="150" customWidth="1"/>
  </cols>
  <sheetData>
    <row r="1" ht="17.4" customHeight="1">
      <c r="A1" s="31"/>
      <c r="B1" s="32"/>
      <c r="C1" s="32"/>
      <c r="D1" s="32"/>
      <c r="E1" t="s" s="33">
        <v>29</v>
      </c>
      <c r="F1" s="34"/>
      <c r="G1" s="34"/>
      <c r="H1" s="34"/>
      <c r="I1" s="34"/>
      <c r="J1" s="32"/>
      <c r="K1" s="35"/>
    </row>
    <row r="2" ht="17.4" customHeight="1">
      <c r="A2" s="36"/>
      <c r="B2" s="37"/>
      <c r="C2" t="s" s="38">
        <v>2</v>
      </c>
      <c r="D2" t="s" s="39">
        <v>30</v>
      </c>
      <c r="E2" s="40">
        <v>1</v>
      </c>
      <c r="F2" s="40">
        <v>2</v>
      </c>
      <c r="G2" s="40">
        <v>3</v>
      </c>
      <c r="H2" s="40">
        <v>4</v>
      </c>
      <c r="I2" s="40">
        <v>5</v>
      </c>
      <c r="J2" t="s" s="41">
        <v>31</v>
      </c>
      <c r="K2" t="s" s="42">
        <v>32</v>
      </c>
    </row>
    <row r="3" ht="17.4" customHeight="1">
      <c r="A3" t="s" s="43">
        <v>33</v>
      </c>
      <c r="B3" t="s" s="39">
        <v>34</v>
      </c>
      <c r="C3" t="s" s="25">
        <v>13</v>
      </c>
      <c r="D3" t="s" s="44">
        <v>15</v>
      </c>
      <c r="E3" s="32"/>
      <c r="F3" s="45"/>
      <c r="G3" s="32"/>
      <c r="H3" s="45"/>
      <c r="I3" s="32"/>
      <c r="J3" s="46">
        <v>11</v>
      </c>
      <c r="K3" s="47" cm="1">
        <f t="array" ref="K3">J3/J$15</f>
        <v>0.120879120879121</v>
      </c>
    </row>
    <row r="4" ht="17.4" customHeight="1">
      <c r="A4" s="48"/>
      <c r="B4" t="s" s="39">
        <v>35</v>
      </c>
      <c r="C4" s="49"/>
      <c r="D4" s="50"/>
      <c r="E4" s="32"/>
      <c r="F4" s="45"/>
      <c r="G4" s="32"/>
      <c r="H4" s="45"/>
      <c r="I4" s="32"/>
      <c r="J4" s="46">
        <v>8</v>
      </c>
      <c r="K4" s="47" cm="1">
        <f t="array" ref="K4">J4/J$15</f>
        <v>0.08791208791208791</v>
      </c>
    </row>
    <row r="5" ht="17.4" customHeight="1">
      <c r="A5" s="48"/>
      <c r="B5" t="s" s="39">
        <v>36</v>
      </c>
      <c r="C5" s="49"/>
      <c r="D5" s="50"/>
      <c r="E5" s="32"/>
      <c r="F5" s="45"/>
      <c r="G5" s="32"/>
      <c r="H5" s="45"/>
      <c r="I5" s="32"/>
      <c r="J5" s="46">
        <v>6</v>
      </c>
      <c r="K5" s="47" cm="1">
        <f t="array" ref="K5">J5/J$15</f>
        <v>0.06593406593406589</v>
      </c>
    </row>
    <row r="6" ht="17.4" customHeight="1">
      <c r="A6" s="48"/>
      <c r="B6" t="s" s="33">
        <v>37</v>
      </c>
      <c r="C6" s="49"/>
      <c r="D6" s="50"/>
      <c r="E6" s="32"/>
      <c r="F6" s="45"/>
      <c r="G6" s="32"/>
      <c r="H6" s="45"/>
      <c r="I6" s="32"/>
      <c r="J6" s="46">
        <v>11</v>
      </c>
      <c r="K6" s="47" cm="1">
        <f t="array" ref="K6">J6/J$15</f>
        <v>0.120879120879121</v>
      </c>
    </row>
    <row r="7" ht="17.4" customHeight="1">
      <c r="A7" t="s" s="43">
        <v>38</v>
      </c>
      <c r="B7" t="s" s="39">
        <v>34</v>
      </c>
      <c r="C7" s="49"/>
      <c r="D7" s="50"/>
      <c r="E7" s="32"/>
      <c r="F7" s="32"/>
      <c r="G7" s="32"/>
      <c r="H7" s="45"/>
      <c r="I7" s="32"/>
      <c r="J7" s="46">
        <v>9</v>
      </c>
      <c r="K7" s="47" cm="1">
        <f t="array" ref="K7">J7/J$15</f>
        <v>0.0989010989010989</v>
      </c>
    </row>
    <row r="8" ht="17.4" customHeight="1">
      <c r="A8" s="48"/>
      <c r="B8" t="s" s="39">
        <v>35</v>
      </c>
      <c r="C8" s="49"/>
      <c r="D8" s="50"/>
      <c r="E8" s="32"/>
      <c r="F8" s="32"/>
      <c r="G8" s="32"/>
      <c r="H8" s="45"/>
      <c r="I8" s="32"/>
      <c r="J8" s="46">
        <v>4</v>
      </c>
      <c r="K8" s="47" cm="1">
        <f t="array" ref="K8">J8/J$15</f>
        <v>0.043956043956044</v>
      </c>
    </row>
    <row r="9" ht="17.4" customHeight="1">
      <c r="A9" s="48"/>
      <c r="B9" t="s" s="39">
        <v>36</v>
      </c>
      <c r="C9" s="49"/>
      <c r="D9" s="50"/>
      <c r="E9" s="32"/>
      <c r="F9" s="32"/>
      <c r="G9" s="32"/>
      <c r="H9" s="45"/>
      <c r="I9" s="32"/>
      <c r="J9" s="46">
        <v>6</v>
      </c>
      <c r="K9" s="47" cm="1">
        <f t="array" ref="K9">J9/J$15</f>
        <v>0.06593406593406589</v>
      </c>
    </row>
    <row r="10" ht="17.4" customHeight="1">
      <c r="A10" s="48"/>
      <c r="B10" t="s" s="33">
        <v>37</v>
      </c>
      <c r="C10" s="49"/>
      <c r="D10" s="50"/>
      <c r="E10" s="32"/>
      <c r="F10" s="32"/>
      <c r="G10" s="32"/>
      <c r="H10" s="45"/>
      <c r="I10" s="32"/>
      <c r="J10" s="46">
        <v>7</v>
      </c>
      <c r="K10" s="47" cm="1">
        <f t="array" ref="K10">J10/J$15</f>
        <v>0.0769230769230769</v>
      </c>
    </row>
    <row r="11" ht="17.4" customHeight="1">
      <c r="A11" t="s" s="43">
        <v>39</v>
      </c>
      <c r="B11" t="s" s="39">
        <v>34</v>
      </c>
      <c r="C11" s="49"/>
      <c r="D11" s="50"/>
      <c r="E11" s="32"/>
      <c r="F11" s="32"/>
      <c r="G11" s="32"/>
      <c r="H11" s="45"/>
      <c r="I11" s="45"/>
      <c r="J11" s="46">
        <v>8</v>
      </c>
      <c r="K11" s="47" cm="1">
        <f t="array" ref="K11">J11/J$15</f>
        <v>0.08791208791208791</v>
      </c>
    </row>
    <row r="12" ht="17.4" customHeight="1">
      <c r="A12" s="48"/>
      <c r="B12" t="s" s="39">
        <v>35</v>
      </c>
      <c r="C12" s="49"/>
      <c r="D12" s="50"/>
      <c r="E12" s="32"/>
      <c r="F12" s="32"/>
      <c r="G12" s="32"/>
      <c r="H12" s="45"/>
      <c r="I12" s="45"/>
      <c r="J12" s="46">
        <v>3</v>
      </c>
      <c r="K12" s="47" cm="1">
        <f t="array" ref="K12">J12/J$15</f>
        <v>0.032967032967033</v>
      </c>
    </row>
    <row r="13" ht="17.4" customHeight="1">
      <c r="A13" s="48"/>
      <c r="B13" t="s" s="39">
        <v>36</v>
      </c>
      <c r="C13" s="49"/>
      <c r="D13" s="50"/>
      <c r="E13" s="32"/>
      <c r="F13" s="32"/>
      <c r="G13" s="32"/>
      <c r="H13" s="45"/>
      <c r="I13" s="45"/>
      <c r="J13" s="46">
        <v>7</v>
      </c>
      <c r="K13" s="47" cm="1">
        <f t="array" ref="K13">J13/J$15</f>
        <v>0.0769230769230769</v>
      </c>
    </row>
    <row r="14" ht="17.4" customHeight="1">
      <c r="A14" s="48"/>
      <c r="B14" t="s" s="33">
        <v>37</v>
      </c>
      <c r="C14" s="49"/>
      <c r="D14" s="50"/>
      <c r="E14" s="32"/>
      <c r="F14" s="32"/>
      <c r="G14" s="32"/>
      <c r="H14" s="45"/>
      <c r="I14" s="45"/>
      <c r="J14" s="46">
        <v>11</v>
      </c>
      <c r="K14" s="47" cm="1">
        <f t="array" ref="K14">J14/J$15</f>
        <v>0.120879120879121</v>
      </c>
    </row>
    <row r="15" ht="14.4" customHeight="1">
      <c r="A15" s="51"/>
      <c r="B15" s="51"/>
      <c r="C15" s="52"/>
      <c r="D15" s="52"/>
      <c r="E15" s="51"/>
      <c r="F15" s="51"/>
      <c r="G15" s="51"/>
      <c r="H15" s="51"/>
      <c r="I15" s="53"/>
      <c r="J15" s="151" cm="1">
        <f t="array" ref="J15">SUM(J3:J14)</f>
        <v>91</v>
      </c>
      <c r="K15" s="55" cm="1">
        <f t="array" ref="K15">AVEDEV(K3:K14)</f>
        <v>0.0228937728937729</v>
      </c>
    </row>
    <row r="16" ht="14.4" customHeight="1">
      <c r="A16" s="58"/>
      <c r="B16" s="58"/>
      <c r="C16" s="58"/>
      <c r="D16" s="58"/>
      <c r="E16" s="58"/>
      <c r="F16" s="58"/>
      <c r="G16" s="58"/>
      <c r="H16" s="58"/>
      <c r="I16" s="58"/>
      <c r="J16" s="52"/>
      <c r="K16" s="58"/>
    </row>
    <row r="17" ht="14.4" customHeigh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</row>
    <row r="18" ht="14.4" customHeigh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</row>
    <row r="19" ht="14.4" customHeight="1">
      <c r="A19" s="58"/>
      <c r="B19" s="58"/>
      <c r="C19" s="58"/>
      <c r="D19" s="60"/>
      <c r="E19" s="58"/>
      <c r="F19" s="58"/>
      <c r="G19" s="58"/>
      <c r="H19" s="58"/>
      <c r="I19" s="58"/>
      <c r="J19" s="58"/>
      <c r="K19" s="58"/>
    </row>
    <row r="20" ht="17.4" customHeight="1">
      <c r="A20" s="58"/>
      <c r="B20" s="58"/>
      <c r="C20" s="31"/>
      <c r="D20" s="63"/>
      <c r="E20" s="74"/>
      <c r="F20" s="58"/>
      <c r="G20" s="58"/>
      <c r="H20" s="58"/>
      <c r="I20" s="58"/>
      <c r="J20" s="58"/>
      <c r="K20" s="58"/>
    </row>
  </sheetData>
  <mergeCells count="6">
    <mergeCell ref="E1:I1"/>
    <mergeCell ref="A3:A6"/>
    <mergeCell ref="C3:C14"/>
    <mergeCell ref="D3:D14"/>
    <mergeCell ref="A7:A10"/>
    <mergeCell ref="A11:A1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N123"/>
  <sheetViews>
    <sheetView workbookViewId="0" showGridLines="0" defaultGridColor="1"/>
  </sheetViews>
  <sheetFormatPr defaultColWidth="8.66667" defaultRowHeight="17.4" customHeight="1" outlineLevelRow="0" outlineLevelCol="0"/>
  <cols>
    <col min="1" max="1" width="12.6719" style="152" customWidth="1"/>
    <col min="2" max="2" width="32.6719" style="152" customWidth="1"/>
    <col min="3" max="3" width="22.1719" style="152" customWidth="1"/>
    <col min="4" max="4" width="12" style="152" customWidth="1"/>
    <col min="5" max="5" width="22.6719" style="152" customWidth="1"/>
    <col min="6" max="6" width="11.5" style="152" customWidth="1"/>
    <col min="7" max="7" width="19.5" style="152" customWidth="1"/>
    <col min="8" max="8" width="21.5" style="152" customWidth="1"/>
    <col min="9" max="9" width="29.5" style="152" customWidth="1"/>
    <col min="10" max="10" width="25.1719" style="152" customWidth="1"/>
    <col min="11" max="11" width="15.6719" style="152" customWidth="1"/>
    <col min="12" max="12" width="17.5" style="152" customWidth="1"/>
    <col min="13" max="13" width="24.5" style="152" customWidth="1"/>
    <col min="14" max="14" width="23.1719" style="152" customWidth="1"/>
    <col min="15" max="16384" width="8.67188" style="152" customWidth="1"/>
  </cols>
  <sheetData>
    <row r="1" ht="26.4" customHeight="1">
      <c r="A1" s="57"/>
      <c r="B1" s="58"/>
      <c r="C1" s="59"/>
      <c r="D1" s="58"/>
      <c r="E1" s="58"/>
      <c r="F1" s="58"/>
      <c r="G1" s="58"/>
      <c r="H1" s="58"/>
      <c r="I1" s="58"/>
      <c r="J1" s="57"/>
      <c r="K1" s="58"/>
      <c r="L1" s="58"/>
      <c r="M1" s="58"/>
      <c r="N1" s="58"/>
    </row>
    <row r="2" ht="17.4" customHeight="1">
      <c r="A2" s="57"/>
      <c r="B2" s="58"/>
      <c r="C2" s="58"/>
      <c r="D2" s="58"/>
      <c r="E2" s="58"/>
      <c r="F2" s="58"/>
      <c r="G2" s="58"/>
      <c r="H2" s="58"/>
      <c r="I2" s="58"/>
      <c r="J2" s="57"/>
      <c r="K2" s="58"/>
      <c r="L2" s="58"/>
      <c r="M2" s="58"/>
      <c r="N2" s="58"/>
    </row>
    <row r="3" ht="17.4" customHeight="1">
      <c r="A3" s="57"/>
      <c r="B3" s="58"/>
      <c r="C3" s="58"/>
      <c r="D3" s="58"/>
      <c r="E3" s="58"/>
      <c r="F3" s="58"/>
      <c r="G3" s="58"/>
      <c r="H3" s="58"/>
      <c r="I3" s="58"/>
      <c r="J3" s="57"/>
      <c r="K3" s="58"/>
      <c r="L3" s="58"/>
      <c r="M3" s="58"/>
      <c r="N3" s="58"/>
    </row>
    <row r="4" ht="17.4" customHeight="1">
      <c r="A4" s="57"/>
      <c r="B4" s="58"/>
      <c r="C4" s="58"/>
      <c r="D4" s="58"/>
      <c r="E4" s="58"/>
      <c r="F4" s="58"/>
      <c r="G4" s="58"/>
      <c r="H4" s="58"/>
      <c r="I4" s="58"/>
      <c r="J4" s="57"/>
      <c r="K4" s="58"/>
      <c r="L4" s="58"/>
      <c r="M4" s="58"/>
      <c r="N4" s="58"/>
    </row>
    <row r="5" ht="17.4" customHeight="1">
      <c r="A5" s="57"/>
      <c r="B5" s="58"/>
      <c r="C5" s="58"/>
      <c r="D5" s="58"/>
      <c r="E5" s="58"/>
      <c r="F5" s="60"/>
      <c r="G5" s="61"/>
      <c r="H5" s="61"/>
      <c r="I5" s="58"/>
      <c r="J5" s="57"/>
      <c r="K5" s="58"/>
      <c r="L5" s="58"/>
      <c r="M5" s="58"/>
      <c r="N5" s="58"/>
    </row>
    <row r="6" ht="17.4" customHeight="1">
      <c r="A6" s="57"/>
      <c r="B6" s="58"/>
      <c r="C6" s="60"/>
      <c r="D6" t="s" s="62">
        <v>40</v>
      </c>
      <c r="E6" s="36"/>
      <c r="F6" s="63"/>
      <c r="G6" s="64"/>
      <c r="H6" s="61"/>
      <c r="I6" s="58"/>
      <c r="J6" s="57"/>
      <c r="K6" s="58"/>
      <c r="L6" s="58"/>
      <c r="M6" s="58"/>
      <c r="N6" s="58"/>
    </row>
    <row r="7" ht="26.4" customHeight="1">
      <c r="A7" s="57"/>
      <c r="B7" s="36"/>
      <c r="C7" t="s" s="65">
        <v>41</v>
      </c>
      <c r="D7" t="s" s="66">
        <v>42</v>
      </c>
      <c r="E7" t="s" s="66">
        <v>43</v>
      </c>
      <c r="F7" t="s" s="66">
        <v>44</v>
      </c>
      <c r="G7" s="67"/>
      <c r="H7" s="61"/>
      <c r="I7" s="68"/>
      <c r="J7" s="69"/>
      <c r="K7" s="70"/>
      <c r="L7" s="58"/>
      <c r="M7" s="58"/>
      <c r="N7" s="58"/>
    </row>
    <row r="8" ht="48" customHeight="1">
      <c r="A8" s="71"/>
      <c r="B8" t="s" s="72">
        <v>45</v>
      </c>
      <c r="C8" t="s" s="72">
        <v>46</v>
      </c>
      <c r="D8" t="s" s="73">
        <v>47</v>
      </c>
      <c r="E8" t="s" s="65">
        <v>48</v>
      </c>
      <c r="F8" t="s" s="65">
        <v>49</v>
      </c>
      <c r="G8" s="74"/>
      <c r="H8" s="31"/>
      <c r="I8" t="s" s="75">
        <v>50</v>
      </c>
      <c r="J8" s="76"/>
      <c r="K8" s="68"/>
      <c r="L8" s="58"/>
      <c r="M8" s="70"/>
      <c r="N8" s="60"/>
    </row>
    <row r="9" ht="26.4" customHeight="1">
      <c r="A9" t="s" s="77">
        <v>33</v>
      </c>
      <c r="B9" t="s" s="78">
        <v>51</v>
      </c>
      <c r="C9" s="79">
        <v>11</v>
      </c>
      <c r="D9" s="80" cm="1">
        <f t="array" ref="D9">RANK(C9,C$9:C$20,1)</f>
        <v>10</v>
      </c>
      <c r="E9" s="81" cm="1">
        <f t="array" ref="E9">LN(LN(1/(1-((D9-0.3)/(12+0.4)))))</f>
        <v>0.421630212338063</v>
      </c>
      <c r="F9" s="81" cm="1">
        <f t="array" ref="F9">LN(C9)</f>
        <v>2.39789527279837</v>
      </c>
      <c r="G9" s="74"/>
      <c r="H9" s="82"/>
      <c r="I9" t="s" s="83">
        <v>52</v>
      </c>
      <c r="J9" s="84" cm="1">
        <f t="array" ref="J9">1/SLOPE(F9:F20,E9:E20)</f>
        <v>2.63030517750867</v>
      </c>
      <c r="K9" t="s" s="85">
        <v>53</v>
      </c>
      <c r="L9" s="74"/>
      <c r="M9" s="36"/>
      <c r="N9" t="s" s="86">
        <v>54</v>
      </c>
    </row>
    <row r="10" ht="26.4" customHeight="1">
      <c r="A10" s="87"/>
      <c r="B10" t="s" s="88">
        <v>55</v>
      </c>
      <c r="C10" s="79">
        <v>8</v>
      </c>
      <c r="D10" s="80" cm="1">
        <f t="array" ref="D10">RANK(C10,C$9:C$20,1)</f>
        <v>7</v>
      </c>
      <c r="E10" s="81" cm="1">
        <f t="array" ref="E10">LN(LN(1/(1-((D10-0.3)/(12+0.4)))))</f>
        <v>-0.252018579003364</v>
      </c>
      <c r="F10" s="81" cm="1">
        <f t="array" ref="F10">LN(C10)</f>
        <v>2.07944154167984</v>
      </c>
      <c r="G10" s="74"/>
      <c r="H10" s="82"/>
      <c r="I10" t="s" s="89">
        <v>56</v>
      </c>
      <c r="J10" s="90" cm="1">
        <f t="array" ref="J10">EXP(INTERCEPT(F9:F20,E9:E20))</f>
        <v>9.16862229867095</v>
      </c>
      <c r="K10" t="s" s="85">
        <v>57</v>
      </c>
      <c r="L10" s="91"/>
      <c r="M10" t="s" s="92">
        <v>58</v>
      </c>
      <c r="N10" t="s" s="92">
        <v>59</v>
      </c>
    </row>
    <row r="11" ht="26.4" customHeight="1">
      <c r="A11" s="87"/>
      <c r="B11" t="s" s="93">
        <v>60</v>
      </c>
      <c r="C11" s="79">
        <v>6</v>
      </c>
      <c r="D11" s="80" cm="1">
        <f t="array" ref="D11">RANK(C11,C$9:C$20,1)</f>
        <v>3</v>
      </c>
      <c r="E11" s="81" cm="1">
        <f t="array" ref="E11">LN(LN(1/(1-((D11-0.3)/(12+0.4)))))</f>
        <v>-1.40417084923896</v>
      </c>
      <c r="F11" s="81" cm="1">
        <f t="array" ref="F11">LN(C11)</f>
        <v>1.79175946922805</v>
      </c>
      <c r="G11" s="94"/>
      <c r="H11" s="95"/>
      <c r="I11" t="s" s="96">
        <v>61</v>
      </c>
      <c r="J11" s="97">
        <v>0.80100180498225</v>
      </c>
      <c r="K11" t="s" s="85">
        <v>62</v>
      </c>
      <c r="L11" s="91"/>
      <c r="M11" s="98" cm="1">
        <f t="array" ref="M11">AVERAGE(C9:C20)</f>
        <v>7.58333333333333</v>
      </c>
      <c r="N11" s="99" cm="1">
        <f t="array" ref="N11">EXPONDIST(C20,1/M11,1)</f>
        <v>0.76555856127846</v>
      </c>
    </row>
    <row r="12" ht="21" customHeight="1">
      <c r="A12" s="87"/>
      <c r="B12" t="s" s="100">
        <v>63</v>
      </c>
      <c r="C12" s="79">
        <v>11</v>
      </c>
      <c r="D12" s="80" cm="1">
        <f t="array" ref="D12">RANK(C12,C$9:C$20,1)</f>
        <v>10</v>
      </c>
      <c r="E12" s="81" cm="1">
        <f t="array" ref="E12">LN(LN(1/(1-((D12-0.3)/(12+0.4)))))</f>
        <v>0.421630212338063</v>
      </c>
      <c r="F12" s="81" cm="1">
        <f t="array" ref="F12">LN(C12)</f>
        <v>2.39789527279837</v>
      </c>
      <c r="G12" s="74"/>
      <c r="H12" s="60"/>
      <c r="I12" s="51"/>
      <c r="J12" s="101"/>
      <c r="K12" s="51"/>
      <c r="L12" s="58"/>
      <c r="M12" s="51"/>
      <c r="N12" s="51"/>
    </row>
    <row r="13" ht="21" customHeight="1">
      <c r="A13" t="s" s="77">
        <v>38</v>
      </c>
      <c r="B13" t="s" s="102">
        <v>51</v>
      </c>
      <c r="C13" s="79">
        <v>9</v>
      </c>
      <c r="D13" s="80" cm="1">
        <f t="array" ref="D13">RANK(C13,C$9:C$20,1)</f>
        <v>9</v>
      </c>
      <c r="E13" s="81" cm="1">
        <f t="array" ref="E13">LN(LN(1/(1-((D13-0.3)/(12+0.4)))))</f>
        <v>0.19009431462729</v>
      </c>
      <c r="F13" s="81" cm="1">
        <f t="array" ref="F13">LN(C13)</f>
        <v>2.19722457733622</v>
      </c>
      <c r="G13" s="91"/>
      <c r="H13" s="103"/>
      <c r="I13" s="74"/>
      <c r="J13" s="57"/>
      <c r="K13" s="58"/>
      <c r="L13" s="58"/>
      <c r="M13" s="58"/>
      <c r="N13" s="58"/>
    </row>
    <row r="14" ht="21.6" customHeight="1">
      <c r="A14" s="87"/>
      <c r="B14" t="s" s="88">
        <v>55</v>
      </c>
      <c r="C14" s="79">
        <v>4</v>
      </c>
      <c r="D14" s="80" cm="1">
        <f t="array" ref="D14">RANK(C14,C$9:C$20,1)</f>
        <v>2</v>
      </c>
      <c r="E14" s="81" cm="1">
        <f t="array" ref="E14">LN(LN(1/(1-((D14-0.3)/(12+0.4)))))</f>
        <v>-1.91424762138896</v>
      </c>
      <c r="F14" s="81" cm="1">
        <f t="array" ref="F14">LN(C14)</f>
        <v>1.38629436111989</v>
      </c>
      <c r="G14" s="94"/>
      <c r="H14" s="104"/>
      <c r="I14" t="s" s="105">
        <v>64</v>
      </c>
      <c r="J14" s="106"/>
      <c r="K14" s="61"/>
      <c r="L14" s="58"/>
      <c r="M14" s="58"/>
      <c r="N14" s="58"/>
    </row>
    <row r="15" ht="21" customHeight="1">
      <c r="A15" s="87"/>
      <c r="B15" t="s" s="93">
        <v>60</v>
      </c>
      <c r="C15" s="79">
        <v>6</v>
      </c>
      <c r="D15" s="80" cm="1">
        <f t="array" ref="D15">RANK(C15,C$9:C$20,1)</f>
        <v>3</v>
      </c>
      <c r="E15" s="81" cm="1">
        <f t="array" ref="E15">LN(LN(1/(1-((D15-0.3)/(12+0.4)))))</f>
        <v>-1.40417084923896</v>
      </c>
      <c r="F15" s="81" cm="1">
        <f t="array" ref="F15">LN(C15)</f>
        <v>1.79175946922805</v>
      </c>
      <c r="G15" s="74"/>
      <c r="H15" s="58"/>
      <c r="I15" s="107"/>
      <c r="J15" s="108"/>
      <c r="K15" s="61"/>
      <c r="L15" s="58"/>
      <c r="M15" s="58"/>
      <c r="N15" s="58"/>
    </row>
    <row r="16" ht="21" customHeight="1">
      <c r="A16" s="87"/>
      <c r="B16" t="s" s="100">
        <v>63</v>
      </c>
      <c r="C16" s="79">
        <v>7</v>
      </c>
      <c r="D16" s="80" cm="1">
        <f t="array" ref="D16">RANK(C16,C$9:C$20,1)</f>
        <v>5</v>
      </c>
      <c r="E16" s="81" cm="1">
        <f t="array" ref="E16">LN(LN(1/(1-((D16-0.3)/(12+0.4)))))</f>
        <v>-0.741337622720735</v>
      </c>
      <c r="F16" s="81" cm="1">
        <f t="array" ref="F16">LN(C16)</f>
        <v>1.94591014905531</v>
      </c>
      <c r="G16" s="74"/>
      <c r="H16" s="58"/>
      <c r="I16" s="58"/>
      <c r="J16" s="57"/>
      <c r="K16" s="58"/>
      <c r="L16" s="58"/>
      <c r="M16" s="58"/>
      <c r="N16" s="58"/>
    </row>
    <row r="17" ht="21" customHeight="1">
      <c r="A17" t="s" s="77">
        <v>39</v>
      </c>
      <c r="B17" t="s" s="102">
        <v>51</v>
      </c>
      <c r="C17" s="79">
        <v>8</v>
      </c>
      <c r="D17" s="80" cm="1">
        <f t="array" ref="D17">RANK(C17,C$9:C$20,1)</f>
        <v>7</v>
      </c>
      <c r="E17" s="81" cm="1">
        <f t="array" ref="E17">LN(LN(1/(1-((D17-0.3)/(12+0.4)))))</f>
        <v>-0.252018579003364</v>
      </c>
      <c r="F17" s="81" cm="1">
        <f t="array" ref="F17">LN(C17)</f>
        <v>2.07944154167984</v>
      </c>
      <c r="G17" s="94"/>
      <c r="H17" s="95"/>
      <c r="I17" s="58"/>
      <c r="J17" s="57"/>
      <c r="K17" s="58"/>
      <c r="L17" s="58"/>
      <c r="M17" s="58"/>
      <c r="N17" s="58"/>
    </row>
    <row r="18" ht="21" customHeight="1">
      <c r="A18" s="87"/>
      <c r="B18" t="s" s="88">
        <v>55</v>
      </c>
      <c r="C18" s="79">
        <v>3</v>
      </c>
      <c r="D18" s="80" cm="1">
        <f t="array" ref="D18">RANK(C18,C$9:C$20,1)</f>
        <v>1</v>
      </c>
      <c r="E18" s="81" cm="1">
        <f t="array" ref="E18">LN(LN(1/(1-((D18-0.3)/(12+0.4)))))</f>
        <v>-2.84545828455263</v>
      </c>
      <c r="F18" s="81" cm="1">
        <f t="array" ref="F18">LN(C18)</f>
        <v>1.09861228866811</v>
      </c>
      <c r="G18" s="74"/>
      <c r="H18" s="58"/>
      <c r="I18" s="58"/>
      <c r="J18" s="109"/>
      <c r="K18" s="58"/>
      <c r="L18" s="58"/>
      <c r="M18" s="58"/>
      <c r="N18" s="58"/>
    </row>
    <row r="19" ht="21" customHeight="1">
      <c r="A19" s="87"/>
      <c r="B19" t="s" s="93">
        <v>60</v>
      </c>
      <c r="C19" s="79">
        <v>7</v>
      </c>
      <c r="D19" s="80" cm="1">
        <f t="array" ref="D19">RANK(C19,C$9:C$20,1)</f>
        <v>5</v>
      </c>
      <c r="E19" s="81" cm="1">
        <f t="array" ref="E19">LN(LN(1/(1-((D19-0.3)/(12+0.4)))))</f>
        <v>-0.741337622720735</v>
      </c>
      <c r="F19" s="81" cm="1">
        <f t="array" ref="F19">LN(C19)</f>
        <v>1.94591014905531</v>
      </c>
      <c r="G19" s="110"/>
      <c r="H19" s="111"/>
      <c r="I19" s="58"/>
      <c r="J19" s="57"/>
      <c r="K19" s="58"/>
      <c r="L19" s="58"/>
      <c r="M19" s="58"/>
      <c r="N19" s="58"/>
    </row>
    <row r="20" ht="21" customHeight="1">
      <c r="A20" s="87"/>
      <c r="B20" t="s" s="100">
        <v>63</v>
      </c>
      <c r="C20" s="79">
        <v>11</v>
      </c>
      <c r="D20" s="80" cm="1">
        <f t="array" ref="D20">RANK(C20,C$9:C$20,1)</f>
        <v>10</v>
      </c>
      <c r="E20" s="81" cm="1">
        <f t="array" ref="E20">LN(LN(1/(1-((D20-0.3)/(12+0.4)))))</f>
        <v>0.421630212338063</v>
      </c>
      <c r="F20" s="81" cm="1">
        <f t="array" ref="F20">LN(C20)</f>
        <v>2.39789527279837</v>
      </c>
      <c r="G20" s="94"/>
      <c r="H20" s="95"/>
      <c r="I20" s="58"/>
      <c r="J20" s="57"/>
      <c r="K20" s="58"/>
      <c r="L20" s="58"/>
      <c r="M20" s="58"/>
      <c r="N20" s="58"/>
    </row>
    <row r="21" ht="21" customHeight="1">
      <c r="A21" s="112"/>
      <c r="B21" t="s" s="113">
        <v>65</v>
      </c>
      <c r="C21" s="114" cm="1">
        <f t="array" ref="C21">C23</f>
        <v>10.9869796792463</v>
      </c>
      <c r="D21" s="115"/>
      <c r="E21" s="116"/>
      <c r="F21" s="116"/>
      <c r="G21" s="58"/>
      <c r="H21" s="58"/>
      <c r="I21" s="58"/>
      <c r="J21" s="57"/>
      <c r="K21" s="58"/>
      <c r="L21" s="58"/>
      <c r="M21" s="58"/>
      <c r="N21" s="58"/>
    </row>
    <row r="22" ht="28.8" customHeight="1">
      <c r="A22" s="57"/>
      <c r="B22" s="117"/>
      <c r="C22" s="118"/>
      <c r="D22" s="95"/>
      <c r="E22" s="119"/>
      <c r="F22" s="119"/>
      <c r="G22" s="95"/>
      <c r="H22" s="120"/>
      <c r="I22" s="121"/>
      <c r="J22" s="122"/>
      <c r="K22" s="123"/>
      <c r="L22" s="58"/>
      <c r="M22" s="58"/>
      <c r="N22" s="58"/>
    </row>
    <row r="23" ht="79.2" customHeight="1">
      <c r="A23" s="124"/>
      <c r="B23" t="s" s="125">
        <v>66</v>
      </c>
      <c r="C23" s="138" cm="1">
        <f t="array" ref="C23">EXP(((LN(-LN(1-80%)))/(J9))+(LN(J10)))</f>
        <v>10.9869796792463</v>
      </c>
      <c r="D23" s="94"/>
      <c r="E23" s="119"/>
      <c r="F23" s="119"/>
      <c r="G23" s="95"/>
      <c r="H23" s="127"/>
      <c r="I23" s="123"/>
      <c r="J23" s="122"/>
      <c r="K23" s="123"/>
      <c r="L23" s="58"/>
      <c r="M23" s="58"/>
      <c r="N23" s="58"/>
    </row>
    <row r="24" ht="79.2" customHeight="1">
      <c r="A24" s="124"/>
      <c r="B24" t="s" s="128">
        <v>67</v>
      </c>
      <c r="C24" s="129" cm="1">
        <f t="array" ref="C24">LN(1-75%)/(-1/M11)</f>
        <v>10.5127322384925</v>
      </c>
      <c r="D24" s="130"/>
      <c r="E24" s="58"/>
      <c r="F24" s="58"/>
      <c r="G24" s="123"/>
      <c r="H24" s="131"/>
      <c r="I24" s="123"/>
      <c r="J24" s="122"/>
      <c r="K24" s="123"/>
      <c r="L24" s="58"/>
      <c r="M24" s="58"/>
      <c r="N24" s="58"/>
    </row>
    <row r="25" ht="28.8" customHeight="1">
      <c r="A25" s="57"/>
      <c r="B25" s="132"/>
      <c r="C25" s="133"/>
      <c r="D25" s="58"/>
      <c r="E25" s="58"/>
      <c r="F25" s="58"/>
      <c r="G25" s="123"/>
      <c r="H25" s="131"/>
      <c r="I25" s="123"/>
      <c r="J25" s="122"/>
      <c r="K25" s="123"/>
      <c r="L25" s="58"/>
      <c r="M25" s="58"/>
      <c r="N25" s="58"/>
    </row>
    <row r="26" ht="28.8" customHeight="1">
      <c r="A26" s="134"/>
      <c r="B26" t="s" s="135">
        <v>68</v>
      </c>
      <c r="C26" s="136" cm="1">
        <f t="array" ref="C26">STDEVP(C9:C20)</f>
        <v>2.53174292182722</v>
      </c>
      <c r="D26" s="94"/>
      <c r="E26" s="95"/>
      <c r="F26" s="95"/>
      <c r="G26" s="123"/>
      <c r="H26" s="137"/>
      <c r="I26" s="123"/>
      <c r="J26" s="122"/>
      <c r="K26" s="123"/>
      <c r="L26" s="58"/>
      <c r="M26" s="58"/>
      <c r="N26" s="58"/>
    </row>
    <row r="27" ht="28.8" customHeight="1">
      <c r="A27" s="134"/>
      <c r="B27" t="s" s="135">
        <v>69</v>
      </c>
      <c r="C27" s="138" cm="1">
        <f t="array" ref="C27">C23+(NORMSDIST(0.99)*(C26/SQRT(12)))</f>
        <v>11.6001002325902</v>
      </c>
      <c r="D27" s="139"/>
      <c r="E27" s="95"/>
      <c r="F27" s="95"/>
      <c r="G27" s="123"/>
      <c r="H27" s="123"/>
      <c r="I27" s="123"/>
      <c r="J27" s="122"/>
      <c r="K27" s="123"/>
      <c r="L27" s="58"/>
      <c r="M27" s="58"/>
      <c r="N27" s="58"/>
    </row>
    <row r="28" ht="28.8" customHeight="1">
      <c r="A28" s="134"/>
      <c r="B28" t="s" s="135">
        <v>70</v>
      </c>
      <c r="C28" s="140" cm="1">
        <f t="array" ref="C28">C23-(NORMSDIST(0.99)*(C26/SQRT(12)))</f>
        <v>10.3738591259024</v>
      </c>
      <c r="D28" s="139"/>
      <c r="E28" s="95"/>
      <c r="F28" s="95"/>
      <c r="G28" s="123"/>
      <c r="H28" s="123"/>
      <c r="I28" s="123"/>
      <c r="J28" s="122"/>
      <c r="K28" s="123"/>
      <c r="L28" s="58"/>
      <c r="M28" s="58"/>
      <c r="N28" s="58"/>
    </row>
    <row r="29" ht="28.8" customHeight="1">
      <c r="A29" s="57"/>
      <c r="B29" s="51"/>
      <c r="C29" s="141"/>
      <c r="D29" s="58"/>
      <c r="E29" s="58"/>
      <c r="F29" s="58"/>
      <c r="G29" s="123"/>
      <c r="H29" s="131"/>
      <c r="I29" s="123"/>
      <c r="J29" s="122"/>
      <c r="K29" s="123"/>
      <c r="L29" s="58"/>
      <c r="M29" s="58"/>
      <c r="N29" s="58"/>
    </row>
    <row r="30" ht="28.8" customHeight="1">
      <c r="A30" s="57"/>
      <c r="B30" s="58"/>
      <c r="C30" s="142"/>
      <c r="D30" s="58"/>
      <c r="E30" s="58"/>
      <c r="F30" s="58"/>
      <c r="G30" s="123"/>
      <c r="H30" s="131"/>
      <c r="I30" s="123"/>
      <c r="J30" s="122"/>
      <c r="K30" s="123"/>
      <c r="L30" s="58"/>
      <c r="M30" s="58"/>
      <c r="N30" s="58"/>
    </row>
    <row r="31" ht="17.4" customHeight="1">
      <c r="A31" s="57"/>
      <c r="B31" s="58"/>
      <c r="C31" s="58"/>
      <c r="D31" s="58"/>
      <c r="E31" s="58"/>
      <c r="F31" s="58"/>
      <c r="G31" s="58"/>
      <c r="H31" s="58"/>
      <c r="I31" s="58"/>
      <c r="J31" s="57"/>
      <c r="K31" s="58"/>
      <c r="L31" s="58"/>
      <c r="M31" s="58"/>
      <c r="N31" s="58"/>
    </row>
    <row r="32" ht="17.4" customHeight="1">
      <c r="A32" s="57"/>
      <c r="B32" s="58"/>
      <c r="C32" s="58"/>
      <c r="D32" s="58"/>
      <c r="E32" s="58"/>
      <c r="F32" s="58"/>
      <c r="G32" s="58"/>
      <c r="H32" s="58"/>
      <c r="I32" s="58"/>
      <c r="J32" s="57"/>
      <c r="K32" s="58"/>
      <c r="L32" s="58"/>
      <c r="M32" s="58"/>
      <c r="N32" s="58"/>
    </row>
    <row r="33" ht="17.4" customHeight="1">
      <c r="A33" s="61"/>
      <c r="B33" s="123"/>
      <c r="C33" s="143"/>
      <c r="D33" s="58"/>
      <c r="E33" s="58"/>
      <c r="F33" s="58"/>
      <c r="G33" s="58"/>
      <c r="H33" s="58"/>
      <c r="I33" s="144"/>
      <c r="J33" s="57"/>
      <c r="K33" s="58"/>
      <c r="L33" s="58"/>
      <c r="M33" s="58"/>
      <c r="N33" s="58"/>
    </row>
    <row r="34" ht="17.4" customHeight="1">
      <c r="A34" s="61"/>
      <c r="B34" s="123"/>
      <c r="C34" s="143"/>
      <c r="D34" s="58"/>
      <c r="E34" s="58"/>
      <c r="F34" s="145"/>
      <c r="G34" s="58"/>
      <c r="H34" s="58"/>
      <c r="I34" s="58"/>
      <c r="J34" s="57"/>
      <c r="K34" s="58"/>
      <c r="L34" s="58"/>
      <c r="M34" s="58"/>
      <c r="N34" s="58"/>
    </row>
    <row r="35" ht="17.4" customHeight="1">
      <c r="A35" s="61"/>
      <c r="B35" s="123"/>
      <c r="C35" s="143"/>
      <c r="D35" s="58"/>
      <c r="E35" s="58"/>
      <c r="F35" s="146"/>
      <c r="G35" s="58"/>
      <c r="H35" s="58"/>
      <c r="I35" s="58"/>
      <c r="J35" s="57"/>
      <c r="K35" s="58"/>
      <c r="L35" s="58"/>
      <c r="M35" s="58"/>
      <c r="N35" s="58"/>
    </row>
    <row r="36" ht="17.4" customHeight="1">
      <c r="A36" s="61"/>
      <c r="B36" s="123"/>
      <c r="C36" s="143"/>
      <c r="D36" s="58"/>
      <c r="E36" s="58"/>
      <c r="F36" s="147"/>
      <c r="G36" s="58"/>
      <c r="H36" s="58"/>
      <c r="I36" s="58"/>
      <c r="J36" s="57"/>
      <c r="K36" s="58"/>
      <c r="L36" s="58"/>
      <c r="M36" s="58"/>
      <c r="N36" s="58"/>
    </row>
    <row r="37" ht="17.4" customHeight="1">
      <c r="A37" s="57"/>
      <c r="B37" s="58"/>
      <c r="C37" s="58"/>
      <c r="D37" s="58"/>
      <c r="E37" s="58"/>
      <c r="F37" s="58"/>
      <c r="G37" s="58"/>
      <c r="H37" s="58"/>
      <c r="I37" s="58"/>
      <c r="J37" s="57"/>
      <c r="K37" s="58"/>
      <c r="L37" s="58"/>
      <c r="M37" s="58"/>
      <c r="N37" s="58"/>
    </row>
    <row r="38" ht="17.4" customHeight="1">
      <c r="A38" s="57"/>
      <c r="B38" s="58"/>
      <c r="C38" s="58"/>
      <c r="D38" s="58"/>
      <c r="E38" s="58"/>
      <c r="F38" s="58"/>
      <c r="G38" s="58"/>
      <c r="H38" s="58"/>
      <c r="I38" s="58"/>
      <c r="J38" s="57"/>
      <c r="K38" s="58"/>
      <c r="L38" s="58"/>
      <c r="M38" s="58"/>
      <c r="N38" s="58"/>
    </row>
    <row r="39" ht="17.4" customHeight="1">
      <c r="A39" s="57"/>
      <c r="B39" s="58"/>
      <c r="C39" s="58"/>
      <c r="D39" s="58"/>
      <c r="E39" s="58"/>
      <c r="F39" s="58"/>
      <c r="G39" s="58"/>
      <c r="H39" s="58"/>
      <c r="I39" s="58"/>
      <c r="J39" s="57"/>
      <c r="K39" s="58"/>
      <c r="L39" s="58"/>
      <c r="M39" s="58"/>
      <c r="N39" s="58"/>
    </row>
    <row r="40" ht="17.4" customHeight="1">
      <c r="A40" s="57"/>
      <c r="B40" s="58"/>
      <c r="C40" s="58"/>
      <c r="D40" s="58"/>
      <c r="E40" s="58"/>
      <c r="F40" s="58"/>
      <c r="G40" s="58"/>
      <c r="H40" s="58"/>
      <c r="I40" s="58"/>
      <c r="J40" s="57"/>
      <c r="K40" s="58"/>
      <c r="L40" s="58"/>
      <c r="M40" s="58"/>
      <c r="N40" s="58"/>
    </row>
    <row r="41" ht="17.4" customHeight="1">
      <c r="A41" s="57"/>
      <c r="B41" s="58"/>
      <c r="C41" s="58"/>
      <c r="D41" s="58"/>
      <c r="E41" s="58"/>
      <c r="F41" s="58"/>
      <c r="G41" s="58"/>
      <c r="H41" s="58"/>
      <c r="I41" s="58"/>
      <c r="J41" s="57"/>
      <c r="K41" s="58"/>
      <c r="L41" s="58"/>
      <c r="M41" s="58"/>
      <c r="N41" s="58"/>
    </row>
    <row r="42" ht="17.4" customHeight="1">
      <c r="A42" s="57"/>
      <c r="B42" s="58"/>
      <c r="C42" s="58"/>
      <c r="D42" s="58"/>
      <c r="E42" s="58"/>
      <c r="F42" s="58"/>
      <c r="G42" s="58"/>
      <c r="H42" s="58"/>
      <c r="I42" s="58"/>
      <c r="J42" s="57"/>
      <c r="K42" s="58"/>
      <c r="L42" s="58"/>
      <c r="M42" s="58"/>
      <c r="N42" s="58"/>
    </row>
    <row r="43" ht="17.4" customHeight="1">
      <c r="A43" s="57"/>
      <c r="B43" s="58"/>
      <c r="C43" s="58"/>
      <c r="D43" s="58"/>
      <c r="E43" s="58"/>
      <c r="F43" s="58"/>
      <c r="G43" s="58"/>
      <c r="H43" s="58"/>
      <c r="I43" s="58"/>
      <c r="J43" s="57"/>
      <c r="K43" s="58"/>
      <c r="L43" s="58"/>
      <c r="M43" s="58"/>
      <c r="N43" s="58"/>
    </row>
    <row r="44" ht="17.4" customHeight="1">
      <c r="A44" s="57"/>
      <c r="B44" s="58"/>
      <c r="C44" s="58"/>
      <c r="D44" s="58"/>
      <c r="E44" s="58"/>
      <c r="F44" s="58"/>
      <c r="G44" s="58"/>
      <c r="H44" s="58"/>
      <c r="I44" s="58"/>
      <c r="J44" s="57"/>
      <c r="K44" s="58"/>
      <c r="L44" s="58"/>
      <c r="M44" s="58"/>
      <c r="N44" s="58"/>
    </row>
    <row r="45" ht="17.4" customHeight="1">
      <c r="A45" s="57"/>
      <c r="B45" s="58"/>
      <c r="C45" s="58"/>
      <c r="D45" s="58"/>
      <c r="E45" s="58"/>
      <c r="F45" s="58"/>
      <c r="G45" s="58"/>
      <c r="H45" s="58"/>
      <c r="I45" s="58"/>
      <c r="J45" s="57"/>
      <c r="K45" s="58"/>
      <c r="L45" s="58"/>
      <c r="M45" s="58"/>
      <c r="N45" s="58"/>
    </row>
    <row r="46" ht="17.4" customHeight="1">
      <c r="A46" s="57"/>
      <c r="B46" s="58"/>
      <c r="C46" s="58"/>
      <c r="D46" s="58"/>
      <c r="E46" s="58"/>
      <c r="F46" s="58"/>
      <c r="G46" s="58"/>
      <c r="H46" s="58"/>
      <c r="I46" s="58"/>
      <c r="J46" s="57"/>
      <c r="K46" s="58"/>
      <c r="L46" s="58"/>
      <c r="M46" s="58"/>
      <c r="N46" s="58"/>
    </row>
    <row r="47" ht="17.4" customHeight="1">
      <c r="A47" s="57"/>
      <c r="B47" s="58"/>
      <c r="C47" s="58"/>
      <c r="D47" s="58"/>
      <c r="E47" s="58"/>
      <c r="F47" s="58"/>
      <c r="G47" s="58"/>
      <c r="H47" s="58"/>
      <c r="I47" s="58"/>
      <c r="J47" s="57"/>
      <c r="K47" s="58"/>
      <c r="L47" s="58"/>
      <c r="M47" s="58"/>
      <c r="N47" s="58"/>
    </row>
    <row r="48" ht="23.4" customHeight="1">
      <c r="A48" s="61"/>
      <c r="B48" s="123"/>
      <c r="C48" s="143"/>
      <c r="D48" s="58"/>
      <c r="E48" s="58"/>
      <c r="F48" s="148"/>
      <c r="G48" s="58"/>
      <c r="H48" s="58"/>
      <c r="I48" s="58"/>
      <c r="J48" s="57"/>
      <c r="K48" s="58"/>
      <c r="L48" s="58"/>
      <c r="M48" s="58"/>
      <c r="N48" s="58"/>
    </row>
    <row r="49" ht="17.4" customHeight="1">
      <c r="A49" s="57"/>
      <c r="B49" s="58"/>
      <c r="C49" s="58"/>
      <c r="D49" s="58"/>
      <c r="E49" s="58"/>
      <c r="F49" s="58"/>
      <c r="G49" s="58"/>
      <c r="H49" s="58"/>
      <c r="I49" s="58"/>
      <c r="J49" s="57"/>
      <c r="K49" s="58"/>
      <c r="L49" s="58"/>
      <c r="M49" s="58"/>
      <c r="N49" s="58"/>
    </row>
    <row r="50" ht="17.4" customHeight="1">
      <c r="A50" s="57"/>
      <c r="B50" s="58"/>
      <c r="C50" s="58"/>
      <c r="D50" s="58"/>
      <c r="E50" s="58"/>
      <c r="F50" s="58"/>
      <c r="G50" s="58"/>
      <c r="H50" s="58"/>
      <c r="I50" s="58"/>
      <c r="J50" s="57"/>
      <c r="K50" s="58"/>
      <c r="L50" s="58"/>
      <c r="M50" s="58"/>
      <c r="N50" s="58"/>
    </row>
    <row r="51" ht="17.4" customHeight="1">
      <c r="A51" s="57"/>
      <c r="B51" s="58"/>
      <c r="C51" s="58"/>
      <c r="D51" s="58"/>
      <c r="E51" s="58"/>
      <c r="F51" s="58"/>
      <c r="G51" s="58"/>
      <c r="H51" s="58"/>
      <c r="I51" s="58"/>
      <c r="J51" s="57"/>
      <c r="K51" s="58"/>
      <c r="L51" s="58"/>
      <c r="M51" s="58"/>
      <c r="N51" s="58"/>
    </row>
    <row r="52" ht="17.4" customHeight="1">
      <c r="A52" s="57"/>
      <c r="B52" s="58"/>
      <c r="C52" s="58"/>
      <c r="D52" s="58"/>
      <c r="E52" s="58"/>
      <c r="F52" s="58"/>
      <c r="G52" s="58"/>
      <c r="H52" s="58"/>
      <c r="I52" s="58"/>
      <c r="J52" s="57"/>
      <c r="K52" s="58"/>
      <c r="L52" s="58"/>
      <c r="M52" s="58"/>
      <c r="N52" s="58"/>
    </row>
    <row r="53" ht="17.4" customHeight="1">
      <c r="A53" s="57"/>
      <c r="B53" s="58"/>
      <c r="C53" s="58"/>
      <c r="D53" s="58"/>
      <c r="E53" s="58"/>
      <c r="F53" s="58"/>
      <c r="G53" s="58"/>
      <c r="H53" s="58"/>
      <c r="I53" s="58"/>
      <c r="J53" s="57"/>
      <c r="K53" s="58"/>
      <c r="L53" s="58"/>
      <c r="M53" s="58"/>
      <c r="N53" s="58"/>
    </row>
    <row r="54" ht="17.4" customHeight="1">
      <c r="A54" s="57"/>
      <c r="B54" s="58"/>
      <c r="C54" s="58"/>
      <c r="D54" s="58"/>
      <c r="E54" s="58"/>
      <c r="F54" s="58"/>
      <c r="G54" s="58"/>
      <c r="H54" s="58"/>
      <c r="I54" s="58"/>
      <c r="J54" s="57"/>
      <c r="K54" s="58"/>
      <c r="L54" s="58"/>
      <c r="M54" s="58"/>
      <c r="N54" s="58"/>
    </row>
    <row r="55" ht="17.4" customHeight="1">
      <c r="A55" s="57"/>
      <c r="B55" s="58"/>
      <c r="C55" s="58"/>
      <c r="D55" s="58"/>
      <c r="E55" s="58"/>
      <c r="F55" s="58"/>
      <c r="G55" s="58"/>
      <c r="H55" s="58"/>
      <c r="I55" s="58"/>
      <c r="J55" s="57"/>
      <c r="K55" s="58"/>
      <c r="L55" s="58"/>
      <c r="M55" s="58"/>
      <c r="N55" s="58"/>
    </row>
    <row r="56" ht="17.4" customHeight="1">
      <c r="A56" s="57"/>
      <c r="B56" s="58"/>
      <c r="C56" s="58"/>
      <c r="D56" s="58"/>
      <c r="E56" s="58"/>
      <c r="F56" s="58"/>
      <c r="G56" s="58"/>
      <c r="H56" s="58"/>
      <c r="I56" s="58"/>
      <c r="J56" s="57"/>
      <c r="K56" s="58"/>
      <c r="L56" s="58"/>
      <c r="M56" s="58"/>
      <c r="N56" s="58"/>
    </row>
    <row r="57" ht="17.4" customHeight="1">
      <c r="A57" s="57"/>
      <c r="B57" s="58"/>
      <c r="C57" s="58"/>
      <c r="D57" s="58"/>
      <c r="E57" s="58"/>
      <c r="F57" s="58"/>
      <c r="G57" s="58"/>
      <c r="H57" s="58"/>
      <c r="I57" s="58"/>
      <c r="J57" s="57"/>
      <c r="K57" s="58"/>
      <c r="L57" s="58"/>
      <c r="M57" s="58"/>
      <c r="N57" s="58"/>
    </row>
    <row r="58" ht="17.4" customHeight="1">
      <c r="A58" s="57"/>
      <c r="B58" s="58"/>
      <c r="C58" s="58"/>
      <c r="D58" s="58"/>
      <c r="E58" s="58"/>
      <c r="F58" s="58"/>
      <c r="G58" s="58"/>
      <c r="H58" s="58"/>
      <c r="I58" s="58"/>
      <c r="J58" s="57"/>
      <c r="K58" s="58"/>
      <c r="L58" s="58"/>
      <c r="M58" s="58"/>
      <c r="N58" s="58"/>
    </row>
    <row r="59" ht="17.4" customHeight="1">
      <c r="A59" s="57"/>
      <c r="B59" s="58"/>
      <c r="C59" s="58"/>
      <c r="D59" s="58"/>
      <c r="E59" s="58"/>
      <c r="F59" s="58"/>
      <c r="G59" s="58"/>
      <c r="H59" s="58"/>
      <c r="I59" s="58"/>
      <c r="J59" s="57"/>
      <c r="K59" s="58"/>
      <c r="L59" s="58"/>
      <c r="M59" s="58"/>
      <c r="N59" s="58"/>
    </row>
    <row r="60" ht="17.4" customHeight="1">
      <c r="A60" s="57"/>
      <c r="B60" s="58"/>
      <c r="C60" s="58"/>
      <c r="D60" s="58"/>
      <c r="E60" s="58"/>
      <c r="F60" s="58"/>
      <c r="G60" s="58"/>
      <c r="H60" s="58"/>
      <c r="I60" s="58"/>
      <c r="J60" s="57"/>
      <c r="K60" s="58"/>
      <c r="L60" s="58"/>
      <c r="M60" s="58"/>
      <c r="N60" s="58"/>
    </row>
    <row r="61" ht="17.4" customHeight="1">
      <c r="A61" s="57"/>
      <c r="B61" s="58"/>
      <c r="C61" s="58"/>
      <c r="D61" s="58"/>
      <c r="E61" s="58"/>
      <c r="F61" s="58"/>
      <c r="G61" s="58"/>
      <c r="H61" s="58"/>
      <c r="I61" s="58"/>
      <c r="J61" s="57"/>
      <c r="K61" s="58"/>
      <c r="L61" s="58"/>
      <c r="M61" s="58"/>
      <c r="N61" s="58"/>
    </row>
    <row r="62" ht="17.4" customHeight="1">
      <c r="A62" s="57"/>
      <c r="B62" s="58"/>
      <c r="C62" s="58"/>
      <c r="D62" s="58"/>
      <c r="E62" s="58"/>
      <c r="F62" s="58"/>
      <c r="G62" s="58"/>
      <c r="H62" s="58"/>
      <c r="I62" s="58"/>
      <c r="J62" s="57"/>
      <c r="K62" s="58"/>
      <c r="L62" s="58"/>
      <c r="M62" s="58"/>
      <c r="N62" s="58"/>
    </row>
    <row r="63" ht="17.4" customHeight="1">
      <c r="A63" s="57"/>
      <c r="B63" s="58"/>
      <c r="C63" s="58"/>
      <c r="D63" s="58"/>
      <c r="E63" s="58"/>
      <c r="F63" s="58"/>
      <c r="G63" s="58"/>
      <c r="H63" s="58"/>
      <c r="I63" s="58"/>
      <c r="J63" s="57"/>
      <c r="K63" s="58"/>
      <c r="L63" s="58"/>
      <c r="M63" s="58"/>
      <c r="N63" s="58"/>
    </row>
    <row r="64" ht="17.4" customHeight="1">
      <c r="A64" s="57"/>
      <c r="B64" s="58"/>
      <c r="C64" s="58"/>
      <c r="D64" s="58"/>
      <c r="E64" s="58"/>
      <c r="F64" s="58"/>
      <c r="G64" s="58"/>
      <c r="H64" s="58"/>
      <c r="I64" s="58"/>
      <c r="J64" s="57"/>
      <c r="K64" s="58"/>
      <c r="L64" s="58"/>
      <c r="M64" s="58"/>
      <c r="N64" s="58"/>
    </row>
    <row r="65" ht="17.4" customHeight="1">
      <c r="A65" s="57"/>
      <c r="B65" s="58"/>
      <c r="C65" s="58"/>
      <c r="D65" s="58"/>
      <c r="E65" s="58"/>
      <c r="F65" s="58"/>
      <c r="G65" s="58"/>
      <c r="H65" s="58"/>
      <c r="I65" s="58"/>
      <c r="J65" s="57"/>
      <c r="K65" s="58"/>
      <c r="L65" s="58"/>
      <c r="M65" s="58"/>
      <c r="N65" s="58"/>
    </row>
    <row r="66" ht="17.4" customHeight="1">
      <c r="A66" s="57"/>
      <c r="B66" s="58"/>
      <c r="C66" s="58"/>
      <c r="D66" s="58"/>
      <c r="E66" s="58"/>
      <c r="F66" s="58"/>
      <c r="G66" s="58"/>
      <c r="H66" s="58"/>
      <c r="I66" s="58"/>
      <c r="J66" s="57"/>
      <c r="K66" s="58"/>
      <c r="L66" s="58"/>
      <c r="M66" s="58"/>
      <c r="N66" s="58"/>
    </row>
    <row r="67" ht="17.4" customHeight="1">
      <c r="A67" s="57"/>
      <c r="B67" s="58"/>
      <c r="C67" s="58"/>
      <c r="D67" s="58"/>
      <c r="E67" s="58"/>
      <c r="F67" s="58"/>
      <c r="G67" s="58"/>
      <c r="H67" s="58"/>
      <c r="I67" s="58"/>
      <c r="J67" s="57"/>
      <c r="K67" s="58"/>
      <c r="L67" s="58"/>
      <c r="M67" s="58"/>
      <c r="N67" s="58"/>
    </row>
    <row r="68" ht="17.4" customHeight="1">
      <c r="A68" s="57"/>
      <c r="B68" s="58"/>
      <c r="C68" s="58"/>
      <c r="D68" s="58"/>
      <c r="E68" s="58"/>
      <c r="F68" s="58"/>
      <c r="G68" s="58"/>
      <c r="H68" s="58"/>
      <c r="I68" s="58"/>
      <c r="J68" s="57"/>
      <c r="K68" s="58"/>
      <c r="L68" s="58"/>
      <c r="M68" s="58"/>
      <c r="N68" s="58"/>
    </row>
    <row r="69" ht="17.4" customHeight="1">
      <c r="A69" s="57"/>
      <c r="B69" s="58"/>
      <c r="C69" s="58"/>
      <c r="D69" s="58"/>
      <c r="E69" s="58"/>
      <c r="F69" s="58"/>
      <c r="G69" s="58"/>
      <c r="H69" s="58"/>
      <c r="I69" s="58"/>
      <c r="J69" s="57"/>
      <c r="K69" s="58"/>
      <c r="L69" s="58"/>
      <c r="M69" s="58"/>
      <c r="N69" s="58"/>
    </row>
    <row r="70" ht="17.4" customHeight="1">
      <c r="A70" s="57"/>
      <c r="B70" s="58"/>
      <c r="C70" s="58"/>
      <c r="D70" s="58"/>
      <c r="E70" s="58"/>
      <c r="F70" s="58"/>
      <c r="G70" s="58"/>
      <c r="H70" s="58"/>
      <c r="I70" s="58"/>
      <c r="J70" s="57"/>
      <c r="K70" s="58"/>
      <c r="L70" s="58"/>
      <c r="M70" s="58"/>
      <c r="N70" s="58"/>
    </row>
    <row r="71" ht="17.4" customHeight="1">
      <c r="A71" s="57"/>
      <c r="B71" s="58"/>
      <c r="C71" s="58"/>
      <c r="D71" s="58"/>
      <c r="E71" s="58"/>
      <c r="F71" s="58"/>
      <c r="G71" s="58"/>
      <c r="H71" s="58"/>
      <c r="I71" s="58"/>
      <c r="J71" s="57"/>
      <c r="K71" s="58"/>
      <c r="L71" s="58"/>
      <c r="M71" s="58"/>
      <c r="N71" s="58"/>
    </row>
    <row r="72" ht="17.4" customHeight="1">
      <c r="A72" s="57"/>
      <c r="B72" s="58"/>
      <c r="C72" s="58"/>
      <c r="D72" s="58"/>
      <c r="E72" s="58"/>
      <c r="F72" s="58"/>
      <c r="G72" s="58"/>
      <c r="H72" s="58"/>
      <c r="I72" s="58"/>
      <c r="J72" s="57"/>
      <c r="K72" s="58"/>
      <c r="L72" s="58"/>
      <c r="M72" s="58"/>
      <c r="N72" s="58"/>
    </row>
    <row r="73" ht="17.4" customHeight="1">
      <c r="A73" s="57"/>
      <c r="B73" s="58"/>
      <c r="C73" s="58"/>
      <c r="D73" s="58"/>
      <c r="E73" s="58"/>
      <c r="F73" s="58"/>
      <c r="G73" s="58"/>
      <c r="H73" s="58"/>
      <c r="I73" s="58"/>
      <c r="J73" s="57"/>
      <c r="K73" s="58"/>
      <c r="L73" s="58"/>
      <c r="M73" s="58"/>
      <c r="N73" s="58"/>
    </row>
    <row r="74" ht="17.4" customHeight="1">
      <c r="A74" s="57"/>
      <c r="B74" s="58"/>
      <c r="C74" s="58"/>
      <c r="D74" s="58"/>
      <c r="E74" s="58"/>
      <c r="F74" s="58"/>
      <c r="G74" s="58"/>
      <c r="H74" s="58"/>
      <c r="I74" s="58"/>
      <c r="J74" s="57"/>
      <c r="K74" s="58"/>
      <c r="L74" s="58"/>
      <c r="M74" s="58"/>
      <c r="N74" s="58"/>
    </row>
    <row r="75" ht="17.4" customHeight="1">
      <c r="A75" s="57"/>
      <c r="B75" s="58"/>
      <c r="C75" s="58"/>
      <c r="D75" s="58"/>
      <c r="E75" s="58"/>
      <c r="F75" s="58"/>
      <c r="G75" s="58"/>
      <c r="H75" s="58"/>
      <c r="I75" s="58"/>
      <c r="J75" s="57"/>
      <c r="K75" s="58"/>
      <c r="L75" s="58"/>
      <c r="M75" s="58"/>
      <c r="N75" s="58"/>
    </row>
    <row r="76" ht="17.4" customHeight="1">
      <c r="A76" s="57"/>
      <c r="B76" s="58"/>
      <c r="C76" s="58"/>
      <c r="D76" s="58"/>
      <c r="E76" s="58"/>
      <c r="F76" s="58"/>
      <c r="G76" s="58"/>
      <c r="H76" s="58"/>
      <c r="I76" s="58"/>
      <c r="J76" s="57"/>
      <c r="K76" s="58"/>
      <c r="L76" s="58"/>
      <c r="M76" s="58"/>
      <c r="N76" s="58"/>
    </row>
    <row r="77" ht="17.4" customHeight="1">
      <c r="A77" s="57"/>
      <c r="B77" s="58"/>
      <c r="C77" s="58"/>
      <c r="D77" s="58"/>
      <c r="E77" s="58"/>
      <c r="F77" s="58"/>
      <c r="G77" s="58"/>
      <c r="H77" s="58"/>
      <c r="I77" s="58"/>
      <c r="J77" s="57"/>
      <c r="K77" s="58"/>
      <c r="L77" s="58"/>
      <c r="M77" s="58"/>
      <c r="N77" s="58"/>
    </row>
    <row r="78" ht="17.4" customHeight="1">
      <c r="A78" s="57"/>
      <c r="B78" s="58"/>
      <c r="C78" s="58"/>
      <c r="D78" s="58"/>
      <c r="E78" s="58"/>
      <c r="F78" s="58"/>
      <c r="G78" s="58"/>
      <c r="H78" s="58"/>
      <c r="I78" s="58"/>
      <c r="J78" s="57"/>
      <c r="K78" s="58"/>
      <c r="L78" s="58"/>
      <c r="M78" s="58"/>
      <c r="N78" s="58"/>
    </row>
    <row r="79" ht="17.4" customHeight="1">
      <c r="A79" s="57"/>
      <c r="B79" s="58"/>
      <c r="C79" s="58"/>
      <c r="D79" s="58"/>
      <c r="E79" s="58"/>
      <c r="F79" s="58"/>
      <c r="G79" s="58"/>
      <c r="H79" s="58"/>
      <c r="I79" s="58"/>
      <c r="J79" s="57"/>
      <c r="K79" s="58"/>
      <c r="L79" s="58"/>
      <c r="M79" s="58"/>
      <c r="N79" s="58"/>
    </row>
    <row r="80" ht="17.4" customHeight="1">
      <c r="A80" s="57"/>
      <c r="B80" s="58"/>
      <c r="C80" s="58"/>
      <c r="D80" s="58"/>
      <c r="E80" s="58"/>
      <c r="F80" s="58"/>
      <c r="G80" s="58"/>
      <c r="H80" s="58"/>
      <c r="I80" s="58"/>
      <c r="J80" s="57"/>
      <c r="K80" s="58"/>
      <c r="L80" s="58"/>
      <c r="M80" s="58"/>
      <c r="N80" s="58"/>
    </row>
    <row r="81" ht="17.4" customHeight="1">
      <c r="A81" s="57"/>
      <c r="B81" s="58"/>
      <c r="C81" s="58"/>
      <c r="D81" s="58"/>
      <c r="E81" s="58"/>
      <c r="F81" s="58"/>
      <c r="G81" s="58"/>
      <c r="H81" s="58"/>
      <c r="I81" s="58"/>
      <c r="J81" s="57"/>
      <c r="K81" s="58"/>
      <c r="L81" s="58"/>
      <c r="M81" s="58"/>
      <c r="N81" s="58"/>
    </row>
    <row r="82" ht="17.4" customHeight="1">
      <c r="A82" s="57"/>
      <c r="B82" s="58"/>
      <c r="C82" s="58"/>
      <c r="D82" s="58"/>
      <c r="E82" s="58"/>
      <c r="F82" s="58"/>
      <c r="G82" s="58"/>
      <c r="H82" s="58"/>
      <c r="I82" s="58"/>
      <c r="J82" s="57"/>
      <c r="K82" s="58"/>
      <c r="L82" s="58"/>
      <c r="M82" s="58"/>
      <c r="N82" s="58"/>
    </row>
    <row r="83" ht="17.4" customHeight="1">
      <c r="A83" s="57"/>
      <c r="B83" s="58"/>
      <c r="C83" s="58"/>
      <c r="D83" s="58"/>
      <c r="E83" s="58"/>
      <c r="F83" s="58"/>
      <c r="G83" s="58"/>
      <c r="H83" s="58"/>
      <c r="I83" s="58"/>
      <c r="J83" s="57"/>
      <c r="K83" s="58"/>
      <c r="L83" s="58"/>
      <c r="M83" s="58"/>
      <c r="N83" s="58"/>
    </row>
    <row r="84" ht="17.4" customHeight="1">
      <c r="A84" s="57"/>
      <c r="B84" s="58"/>
      <c r="C84" s="58"/>
      <c r="D84" s="58"/>
      <c r="E84" s="58"/>
      <c r="F84" s="58"/>
      <c r="G84" s="58"/>
      <c r="H84" s="58"/>
      <c r="I84" s="58"/>
      <c r="J84" s="57"/>
      <c r="K84" s="58"/>
      <c r="L84" s="58"/>
      <c r="M84" s="58"/>
      <c r="N84" s="58"/>
    </row>
    <row r="85" ht="17.4" customHeight="1">
      <c r="A85" s="57"/>
      <c r="B85" s="58"/>
      <c r="C85" s="58"/>
      <c r="D85" s="58"/>
      <c r="E85" s="58"/>
      <c r="F85" s="58"/>
      <c r="G85" s="58"/>
      <c r="H85" s="58"/>
      <c r="I85" s="58"/>
      <c r="J85" s="57"/>
      <c r="K85" s="58"/>
      <c r="L85" s="58"/>
      <c r="M85" s="58"/>
      <c r="N85" s="58"/>
    </row>
    <row r="86" ht="17.4" customHeight="1">
      <c r="A86" s="57"/>
      <c r="B86" s="58"/>
      <c r="C86" s="58"/>
      <c r="D86" s="58"/>
      <c r="E86" s="58"/>
      <c r="F86" s="58"/>
      <c r="G86" s="58"/>
      <c r="H86" s="58"/>
      <c r="I86" s="58"/>
      <c r="J86" s="57"/>
      <c r="K86" s="58"/>
      <c r="L86" s="58"/>
      <c r="M86" s="58"/>
      <c r="N86" s="58"/>
    </row>
    <row r="87" ht="17.4" customHeight="1">
      <c r="A87" s="57"/>
      <c r="B87" s="58"/>
      <c r="C87" s="58"/>
      <c r="D87" s="58"/>
      <c r="E87" s="58"/>
      <c r="F87" s="58"/>
      <c r="G87" s="58"/>
      <c r="H87" s="58"/>
      <c r="I87" s="58"/>
      <c r="J87" s="57"/>
      <c r="K87" s="58"/>
      <c r="L87" s="58"/>
      <c r="M87" s="58"/>
      <c r="N87" s="58"/>
    </row>
    <row r="88" ht="17.4" customHeight="1">
      <c r="A88" s="57"/>
      <c r="B88" s="58"/>
      <c r="C88" s="58"/>
      <c r="D88" s="58"/>
      <c r="E88" s="58"/>
      <c r="F88" s="58"/>
      <c r="G88" s="58"/>
      <c r="H88" s="58"/>
      <c r="I88" s="58"/>
      <c r="J88" s="57"/>
      <c r="K88" s="58"/>
      <c r="L88" s="58"/>
      <c r="M88" s="58"/>
      <c r="N88" s="58"/>
    </row>
    <row r="89" ht="17.4" customHeight="1">
      <c r="A89" s="57"/>
      <c r="B89" s="58"/>
      <c r="C89" s="58"/>
      <c r="D89" s="58"/>
      <c r="E89" s="58"/>
      <c r="F89" s="58"/>
      <c r="G89" s="58"/>
      <c r="H89" s="58"/>
      <c r="I89" s="58"/>
      <c r="J89" s="57"/>
      <c r="K89" s="58"/>
      <c r="L89" s="58"/>
      <c r="M89" s="58"/>
      <c r="N89" s="58"/>
    </row>
    <row r="90" ht="17.4" customHeight="1">
      <c r="A90" s="57"/>
      <c r="B90" s="58"/>
      <c r="C90" s="58"/>
      <c r="D90" s="58"/>
      <c r="E90" s="58"/>
      <c r="F90" s="58"/>
      <c r="G90" s="58"/>
      <c r="H90" s="58"/>
      <c r="I90" s="58"/>
      <c r="J90" s="57"/>
      <c r="K90" s="58"/>
      <c r="L90" s="58"/>
      <c r="M90" s="58"/>
      <c r="N90" s="58"/>
    </row>
    <row r="91" ht="17.4" customHeight="1">
      <c r="A91" s="57"/>
      <c r="B91" s="58"/>
      <c r="C91" s="58"/>
      <c r="D91" s="58"/>
      <c r="E91" s="58"/>
      <c r="F91" s="58"/>
      <c r="G91" s="58"/>
      <c r="H91" s="58"/>
      <c r="I91" s="58"/>
      <c r="J91" s="57"/>
      <c r="K91" s="58"/>
      <c r="L91" s="58"/>
      <c r="M91" s="58"/>
      <c r="N91" s="58"/>
    </row>
    <row r="92" ht="17.4" customHeight="1">
      <c r="A92" s="57"/>
      <c r="B92" s="58"/>
      <c r="C92" s="58"/>
      <c r="D92" s="58"/>
      <c r="E92" s="58"/>
      <c r="F92" s="58"/>
      <c r="G92" s="58"/>
      <c r="H92" s="58"/>
      <c r="I92" s="58"/>
      <c r="J92" s="57"/>
      <c r="K92" s="58"/>
      <c r="L92" s="58"/>
      <c r="M92" s="58"/>
      <c r="N92" s="58"/>
    </row>
    <row r="93" ht="17.4" customHeight="1">
      <c r="A93" s="57"/>
      <c r="B93" s="58"/>
      <c r="C93" s="58"/>
      <c r="D93" s="58"/>
      <c r="E93" s="58"/>
      <c r="F93" s="58"/>
      <c r="G93" s="58"/>
      <c r="H93" s="58"/>
      <c r="I93" s="58"/>
      <c r="J93" s="57"/>
      <c r="K93" s="58"/>
      <c r="L93" s="58"/>
      <c r="M93" s="58"/>
      <c r="N93" s="58"/>
    </row>
    <row r="94" ht="17.4" customHeight="1">
      <c r="A94" s="57"/>
      <c r="B94" s="58"/>
      <c r="C94" s="58"/>
      <c r="D94" s="58"/>
      <c r="E94" s="58"/>
      <c r="F94" s="58"/>
      <c r="G94" s="58"/>
      <c r="H94" s="58"/>
      <c r="I94" s="58"/>
      <c r="J94" s="57"/>
      <c r="K94" s="58"/>
      <c r="L94" s="58"/>
      <c r="M94" s="58"/>
      <c r="N94" s="58"/>
    </row>
    <row r="95" ht="17.4" customHeight="1">
      <c r="A95" s="57"/>
      <c r="B95" s="58"/>
      <c r="C95" s="58"/>
      <c r="D95" s="58"/>
      <c r="E95" s="58"/>
      <c r="F95" s="58"/>
      <c r="G95" s="58"/>
      <c r="H95" s="58"/>
      <c r="I95" s="58"/>
      <c r="J95" s="57"/>
      <c r="K95" s="58"/>
      <c r="L95" s="58"/>
      <c r="M95" s="58"/>
      <c r="N95" s="58"/>
    </row>
    <row r="96" ht="17.4" customHeight="1">
      <c r="A96" s="57"/>
      <c r="B96" s="58"/>
      <c r="C96" s="58"/>
      <c r="D96" s="58"/>
      <c r="E96" s="58"/>
      <c r="F96" s="58"/>
      <c r="G96" s="58"/>
      <c r="H96" s="58"/>
      <c r="I96" s="58"/>
      <c r="J96" s="57"/>
      <c r="K96" s="58"/>
      <c r="L96" s="58"/>
      <c r="M96" s="58"/>
      <c r="N96" s="58"/>
    </row>
    <row r="97" ht="17.4" customHeight="1">
      <c r="A97" s="57"/>
      <c r="B97" s="58"/>
      <c r="C97" s="58"/>
      <c r="D97" s="58"/>
      <c r="E97" s="58"/>
      <c r="F97" s="58"/>
      <c r="G97" s="58"/>
      <c r="H97" s="58"/>
      <c r="I97" s="58"/>
      <c r="J97" s="57"/>
      <c r="K97" s="58"/>
      <c r="L97" s="58"/>
      <c r="M97" s="58"/>
      <c r="N97" s="58"/>
    </row>
    <row r="98" ht="17.4" customHeight="1">
      <c r="A98" s="57"/>
      <c r="B98" s="58"/>
      <c r="C98" s="58"/>
      <c r="D98" s="58"/>
      <c r="E98" s="58"/>
      <c r="F98" s="58"/>
      <c r="G98" s="58"/>
      <c r="H98" s="58"/>
      <c r="I98" s="58"/>
      <c r="J98" s="57"/>
      <c r="K98" s="58"/>
      <c r="L98" s="58"/>
      <c r="M98" s="58"/>
      <c r="N98" s="58"/>
    </row>
    <row r="99" ht="17.4" customHeight="1">
      <c r="A99" s="57"/>
      <c r="B99" s="58"/>
      <c r="C99" s="58"/>
      <c r="D99" s="58"/>
      <c r="E99" s="58"/>
      <c r="F99" s="58"/>
      <c r="G99" s="58"/>
      <c r="H99" s="58"/>
      <c r="I99" s="58"/>
      <c r="J99" s="57"/>
      <c r="K99" s="58"/>
      <c r="L99" s="58"/>
      <c r="M99" s="58"/>
      <c r="N99" s="58"/>
    </row>
    <row r="100" ht="17.4" customHeight="1">
      <c r="A100" s="57"/>
      <c r="B100" s="58"/>
      <c r="C100" s="58"/>
      <c r="D100" s="58"/>
      <c r="E100" s="58"/>
      <c r="F100" s="58"/>
      <c r="G100" s="58"/>
      <c r="H100" s="58"/>
      <c r="I100" s="58"/>
      <c r="J100" s="57"/>
      <c r="K100" s="58"/>
      <c r="L100" s="58"/>
      <c r="M100" s="58"/>
      <c r="N100" s="58"/>
    </row>
    <row r="101" ht="17.4" customHeight="1">
      <c r="A101" s="57"/>
      <c r="B101" s="58"/>
      <c r="C101" s="58"/>
      <c r="D101" s="58"/>
      <c r="E101" s="58"/>
      <c r="F101" s="58"/>
      <c r="G101" s="58"/>
      <c r="H101" s="58"/>
      <c r="I101" s="58"/>
      <c r="J101" s="57"/>
      <c r="K101" s="58"/>
      <c r="L101" s="58"/>
      <c r="M101" s="58"/>
      <c r="N101" s="58"/>
    </row>
    <row r="102" ht="17.4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7"/>
      <c r="K102" s="58"/>
      <c r="L102" s="58"/>
      <c r="M102" s="58"/>
      <c r="N102" s="58"/>
    </row>
    <row r="103" ht="17.4" customHeight="1">
      <c r="A103" s="57"/>
      <c r="B103" s="58"/>
      <c r="C103" s="58"/>
      <c r="D103" s="58"/>
      <c r="E103" s="58"/>
      <c r="F103" s="58"/>
      <c r="G103" s="58"/>
      <c r="H103" s="58"/>
      <c r="I103" s="58"/>
      <c r="J103" s="57"/>
      <c r="K103" s="58"/>
      <c r="L103" s="58"/>
      <c r="M103" s="58"/>
      <c r="N103" s="58"/>
    </row>
    <row r="104" ht="17.4" customHeight="1">
      <c r="A104" s="57"/>
      <c r="B104" s="58"/>
      <c r="C104" s="58"/>
      <c r="D104" s="58"/>
      <c r="E104" s="58"/>
      <c r="F104" s="58"/>
      <c r="G104" s="58"/>
      <c r="H104" s="58"/>
      <c r="I104" s="58"/>
      <c r="J104" s="57"/>
      <c r="K104" s="58"/>
      <c r="L104" s="58"/>
      <c r="M104" s="58"/>
      <c r="N104" s="58"/>
    </row>
    <row r="105" ht="17.4" customHeight="1">
      <c r="A105" s="57"/>
      <c r="B105" s="58"/>
      <c r="C105" s="58"/>
      <c r="D105" s="58"/>
      <c r="E105" s="58"/>
      <c r="F105" s="58"/>
      <c r="G105" s="58"/>
      <c r="H105" s="58"/>
      <c r="I105" s="58"/>
      <c r="J105" s="57"/>
      <c r="K105" s="58"/>
      <c r="L105" s="58"/>
      <c r="M105" s="58"/>
      <c r="N105" s="58"/>
    </row>
    <row r="106" ht="17.4" customHeight="1">
      <c r="A106" s="57"/>
      <c r="B106" s="58"/>
      <c r="C106" s="58"/>
      <c r="D106" s="58"/>
      <c r="E106" s="58"/>
      <c r="F106" s="58"/>
      <c r="G106" s="58"/>
      <c r="H106" s="58"/>
      <c r="I106" s="58"/>
      <c r="J106" s="57"/>
      <c r="K106" s="58"/>
      <c r="L106" s="58"/>
      <c r="M106" s="58"/>
      <c r="N106" s="58"/>
    </row>
    <row r="107" ht="17.4" customHeight="1">
      <c r="A107" s="57"/>
      <c r="B107" s="58"/>
      <c r="C107" s="58"/>
      <c r="D107" s="58"/>
      <c r="E107" s="58"/>
      <c r="F107" s="58"/>
      <c r="G107" s="58"/>
      <c r="H107" s="58"/>
      <c r="I107" s="58"/>
      <c r="J107" s="57"/>
      <c r="K107" s="58"/>
      <c r="L107" s="58"/>
      <c r="M107" s="58"/>
      <c r="N107" s="58"/>
    </row>
    <row r="108" ht="17.4" customHeight="1">
      <c r="A108" s="57"/>
      <c r="B108" s="58"/>
      <c r="C108" s="58"/>
      <c r="D108" s="58"/>
      <c r="E108" s="58"/>
      <c r="F108" s="58"/>
      <c r="G108" s="58"/>
      <c r="H108" s="58"/>
      <c r="I108" s="58"/>
      <c r="J108" s="57"/>
      <c r="K108" s="58"/>
      <c r="L108" s="58"/>
      <c r="M108" s="58"/>
      <c r="N108" s="58"/>
    </row>
    <row r="109" ht="17.4" customHeight="1">
      <c r="A109" s="57"/>
      <c r="B109" s="58"/>
      <c r="C109" s="58"/>
      <c r="D109" s="58"/>
      <c r="E109" s="58"/>
      <c r="F109" s="58"/>
      <c r="G109" s="58"/>
      <c r="H109" s="58"/>
      <c r="I109" s="58"/>
      <c r="J109" s="57"/>
      <c r="K109" s="58"/>
      <c r="L109" s="58"/>
      <c r="M109" s="58"/>
      <c r="N109" s="58"/>
    </row>
    <row r="110" ht="17.4" customHeight="1">
      <c r="A110" s="57"/>
      <c r="B110" s="58"/>
      <c r="C110" s="58"/>
      <c r="D110" s="58"/>
      <c r="E110" s="58"/>
      <c r="F110" s="58"/>
      <c r="G110" s="58"/>
      <c r="H110" s="58"/>
      <c r="I110" s="58"/>
      <c r="J110" s="57"/>
      <c r="K110" s="58"/>
      <c r="L110" s="58"/>
      <c r="M110" s="58"/>
      <c r="N110" s="58"/>
    </row>
    <row r="111" ht="17.4" customHeight="1">
      <c r="A111" s="57"/>
      <c r="B111" s="58"/>
      <c r="C111" s="58"/>
      <c r="D111" s="58"/>
      <c r="E111" s="58"/>
      <c r="F111" s="58"/>
      <c r="G111" s="58"/>
      <c r="H111" s="58"/>
      <c r="I111" s="58"/>
      <c r="J111" s="57"/>
      <c r="K111" s="58"/>
      <c r="L111" s="58"/>
      <c r="M111" s="58"/>
      <c r="N111" s="58"/>
    </row>
    <row r="112" ht="17.4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7"/>
      <c r="K112" s="58"/>
      <c r="L112" s="58"/>
      <c r="M112" s="58"/>
      <c r="N112" s="58"/>
    </row>
    <row r="113" ht="17.4" customHeight="1">
      <c r="A113" s="57"/>
      <c r="B113" s="58"/>
      <c r="C113" s="58"/>
      <c r="D113" s="58"/>
      <c r="E113" s="58"/>
      <c r="F113" s="58"/>
      <c r="G113" s="58"/>
      <c r="H113" s="58"/>
      <c r="I113" s="58"/>
      <c r="J113" s="57"/>
      <c r="K113" s="58"/>
      <c r="L113" s="58"/>
      <c r="M113" s="58"/>
      <c r="N113" s="58"/>
    </row>
    <row r="114" ht="17.4" customHeight="1">
      <c r="A114" s="57"/>
      <c r="B114" s="58"/>
      <c r="C114" s="58"/>
      <c r="D114" s="58"/>
      <c r="E114" s="58"/>
      <c r="F114" s="58"/>
      <c r="G114" s="58"/>
      <c r="H114" s="58"/>
      <c r="I114" s="58"/>
      <c r="J114" s="57"/>
      <c r="K114" s="58"/>
      <c r="L114" s="58"/>
      <c r="M114" s="58"/>
      <c r="N114" s="58"/>
    </row>
    <row r="115" ht="17.4" customHeight="1">
      <c r="A115" s="57"/>
      <c r="B115" s="58"/>
      <c r="C115" s="58"/>
      <c r="D115" s="58"/>
      <c r="E115" s="58"/>
      <c r="F115" s="58"/>
      <c r="G115" s="58"/>
      <c r="H115" s="58"/>
      <c r="I115" s="58"/>
      <c r="J115" s="57"/>
      <c r="K115" s="58"/>
      <c r="L115" s="58"/>
      <c r="M115" s="58"/>
      <c r="N115" s="58"/>
    </row>
    <row r="116" ht="17.4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7"/>
      <c r="K116" s="58"/>
      <c r="L116" s="58"/>
      <c r="M116" s="58"/>
      <c r="N116" s="58"/>
    </row>
    <row r="117" ht="17.4" customHeight="1">
      <c r="A117" s="57"/>
      <c r="B117" s="58"/>
      <c r="C117" s="58"/>
      <c r="D117" s="58"/>
      <c r="E117" s="58"/>
      <c r="F117" s="58"/>
      <c r="G117" s="58"/>
      <c r="H117" s="58"/>
      <c r="I117" s="58"/>
      <c r="J117" s="57"/>
      <c r="K117" s="58"/>
      <c r="L117" s="58"/>
      <c r="M117" s="58"/>
      <c r="N117" s="58"/>
    </row>
    <row r="118" ht="17.4" customHeight="1">
      <c r="A118" s="57"/>
      <c r="B118" s="58"/>
      <c r="C118" s="58"/>
      <c r="D118" s="58"/>
      <c r="E118" s="58"/>
      <c r="F118" s="58"/>
      <c r="G118" s="58"/>
      <c r="H118" s="58"/>
      <c r="I118" s="58"/>
      <c r="J118" s="57"/>
      <c r="K118" s="58"/>
      <c r="L118" s="58"/>
      <c r="M118" s="58"/>
      <c r="N118" s="58"/>
    </row>
    <row r="119" ht="17.4" customHeight="1">
      <c r="A119" s="57"/>
      <c r="B119" s="58"/>
      <c r="C119" s="58"/>
      <c r="D119" s="58"/>
      <c r="E119" s="58"/>
      <c r="F119" s="58"/>
      <c r="G119" s="58"/>
      <c r="H119" s="58"/>
      <c r="I119" s="58"/>
      <c r="J119" s="57"/>
      <c r="K119" s="58"/>
      <c r="L119" s="58"/>
      <c r="M119" s="58"/>
      <c r="N119" s="58"/>
    </row>
    <row r="120" ht="17.4" customHeight="1">
      <c r="A120" s="57"/>
      <c r="B120" s="58"/>
      <c r="C120" s="58"/>
      <c r="D120" s="58"/>
      <c r="E120" s="58"/>
      <c r="F120" s="58"/>
      <c r="G120" s="58"/>
      <c r="H120" s="58"/>
      <c r="I120" s="58"/>
      <c r="J120" s="57"/>
      <c r="K120" s="58"/>
      <c r="L120" s="58"/>
      <c r="M120" s="58"/>
      <c r="N120" s="58"/>
    </row>
    <row r="121" ht="17.4" customHeight="1">
      <c r="A121" s="57"/>
      <c r="B121" s="58"/>
      <c r="C121" s="58"/>
      <c r="D121" s="58"/>
      <c r="E121" s="58"/>
      <c r="F121" s="58"/>
      <c r="G121" s="58"/>
      <c r="H121" s="58"/>
      <c r="I121" s="58"/>
      <c r="J121" s="57"/>
      <c r="K121" s="58"/>
      <c r="L121" s="58"/>
      <c r="M121" s="58"/>
      <c r="N121" s="58"/>
    </row>
    <row r="122" ht="17.4" customHeight="1">
      <c r="A122" s="57"/>
      <c r="B122" s="58"/>
      <c r="C122" s="58"/>
      <c r="D122" s="58"/>
      <c r="E122" s="58"/>
      <c r="F122" s="58"/>
      <c r="G122" s="58"/>
      <c r="H122" s="58"/>
      <c r="I122" s="58"/>
      <c r="J122" s="57"/>
      <c r="K122" s="58"/>
      <c r="L122" s="58"/>
      <c r="M122" s="58"/>
      <c r="N122" s="58"/>
    </row>
    <row r="123" ht="19.8" customHeight="1">
      <c r="A123" s="57"/>
      <c r="B123" s="58"/>
      <c r="C123" s="58"/>
      <c r="D123" s="58"/>
      <c r="E123" s="149"/>
      <c r="F123" s="58"/>
      <c r="G123" s="58"/>
      <c r="H123" s="58"/>
      <c r="I123" s="58"/>
      <c r="J123" s="57"/>
      <c r="K123" s="58"/>
      <c r="L123" s="58"/>
      <c r="M123" s="58"/>
      <c r="N123" s="58"/>
    </row>
  </sheetData>
  <mergeCells count="3">
    <mergeCell ref="A9:A12"/>
    <mergeCell ref="A13:A16"/>
    <mergeCell ref="A17:A20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K20"/>
  <sheetViews>
    <sheetView workbookViewId="0" showGridLines="0" defaultGridColor="1"/>
  </sheetViews>
  <sheetFormatPr defaultColWidth="17.5" defaultRowHeight="14.4" customHeight="1" outlineLevelRow="0" outlineLevelCol="0"/>
  <cols>
    <col min="1" max="1" width="8.5" style="153" customWidth="1"/>
    <col min="2" max="2" width="17.5" style="153" customWidth="1"/>
    <col min="3" max="3" width="28.8516" style="153" customWidth="1"/>
    <col min="4" max="4" width="30.3516" style="153" customWidth="1"/>
    <col min="5" max="5" width="6.35156" style="153" customWidth="1"/>
    <col min="6" max="6" width="6.67188" style="153" customWidth="1"/>
    <col min="7" max="7" width="5.67188" style="153" customWidth="1"/>
    <col min="8" max="8" width="6.17188" style="153" customWidth="1"/>
    <col min="9" max="9" width="5.67188" style="153" customWidth="1"/>
    <col min="10" max="10" width="30.5" style="153" customWidth="1"/>
    <col min="11" max="11" width="17.5" style="153" customWidth="1"/>
    <col min="12" max="16384" width="17.5" style="153" customWidth="1"/>
  </cols>
  <sheetData>
    <row r="1" ht="17.4" customHeight="1">
      <c r="A1" s="31"/>
      <c r="B1" s="32"/>
      <c r="C1" s="32"/>
      <c r="D1" s="32"/>
      <c r="E1" t="s" s="33">
        <v>29</v>
      </c>
      <c r="F1" s="34"/>
      <c r="G1" s="34"/>
      <c r="H1" s="34"/>
      <c r="I1" s="34"/>
      <c r="J1" s="32"/>
      <c r="K1" s="35"/>
    </row>
    <row r="2" ht="17.4" customHeight="1">
      <c r="A2" s="36"/>
      <c r="B2" s="37"/>
      <c r="C2" t="s" s="38">
        <v>2</v>
      </c>
      <c r="D2" t="s" s="39">
        <v>30</v>
      </c>
      <c r="E2" s="40">
        <v>1</v>
      </c>
      <c r="F2" s="40">
        <v>2</v>
      </c>
      <c r="G2" s="40">
        <v>3</v>
      </c>
      <c r="H2" s="40">
        <v>4</v>
      </c>
      <c r="I2" s="40">
        <v>5</v>
      </c>
      <c r="J2" t="s" s="41">
        <v>31</v>
      </c>
      <c r="K2" t="s" s="42">
        <v>32</v>
      </c>
    </row>
    <row r="3" ht="17.4" customHeight="1">
      <c r="A3" t="s" s="43">
        <v>33</v>
      </c>
      <c r="B3" t="s" s="39">
        <v>34</v>
      </c>
      <c r="C3" t="s" s="25">
        <v>19</v>
      </c>
      <c r="D3" t="s" s="44">
        <v>21</v>
      </c>
      <c r="E3" s="32"/>
      <c r="F3" s="45"/>
      <c r="G3" s="32"/>
      <c r="H3" s="45"/>
      <c r="I3" s="32"/>
      <c r="J3" s="46">
        <v>12</v>
      </c>
      <c r="K3" s="47" cm="1">
        <f t="array" ref="K3">J3/J$15</f>
        <v>0.11214953271028</v>
      </c>
    </row>
    <row r="4" ht="17.4" customHeight="1">
      <c r="A4" s="48"/>
      <c r="B4" t="s" s="39">
        <v>35</v>
      </c>
      <c r="C4" s="49"/>
      <c r="D4" s="50"/>
      <c r="E4" s="32"/>
      <c r="F4" s="45"/>
      <c r="G4" s="32"/>
      <c r="H4" s="45"/>
      <c r="I4" s="32"/>
      <c r="J4" s="46">
        <v>8</v>
      </c>
      <c r="K4" s="47" cm="1">
        <f t="array" ref="K4">J4/J$15</f>
        <v>0.0747663551401869</v>
      </c>
    </row>
    <row r="5" ht="17.4" customHeight="1">
      <c r="A5" s="48"/>
      <c r="B5" t="s" s="39">
        <v>36</v>
      </c>
      <c r="C5" s="49"/>
      <c r="D5" s="50"/>
      <c r="E5" s="32"/>
      <c r="F5" s="45"/>
      <c r="G5" s="32"/>
      <c r="H5" s="45"/>
      <c r="I5" s="32"/>
      <c r="J5" s="46">
        <v>9</v>
      </c>
      <c r="K5" s="47" cm="1">
        <f t="array" ref="K5">J5/J$15</f>
        <v>0.0841121495327103</v>
      </c>
    </row>
    <row r="6" ht="17.4" customHeight="1">
      <c r="A6" s="48"/>
      <c r="B6" t="s" s="33">
        <v>37</v>
      </c>
      <c r="C6" s="49"/>
      <c r="D6" s="50"/>
      <c r="E6" s="32"/>
      <c r="F6" s="45"/>
      <c r="G6" s="32"/>
      <c r="H6" s="45"/>
      <c r="I6" s="32"/>
      <c r="J6" s="46">
        <v>7</v>
      </c>
      <c r="K6" s="47" cm="1">
        <f t="array" ref="K6">J6/J$15</f>
        <v>0.0654205607476636</v>
      </c>
    </row>
    <row r="7" ht="17.4" customHeight="1">
      <c r="A7" t="s" s="43">
        <v>38</v>
      </c>
      <c r="B7" t="s" s="39">
        <v>34</v>
      </c>
      <c r="C7" s="49"/>
      <c r="D7" s="50"/>
      <c r="E7" s="32"/>
      <c r="F7" s="32"/>
      <c r="G7" s="32"/>
      <c r="H7" s="45"/>
      <c r="I7" s="32"/>
      <c r="J7" s="46">
        <v>6</v>
      </c>
      <c r="K7" s="47" cm="1">
        <f t="array" ref="K7">J7/J$15</f>
        <v>0.0560747663551402</v>
      </c>
    </row>
    <row r="8" ht="17.4" customHeight="1">
      <c r="A8" s="48"/>
      <c r="B8" t="s" s="39">
        <v>35</v>
      </c>
      <c r="C8" s="49"/>
      <c r="D8" s="50"/>
      <c r="E8" s="32"/>
      <c r="F8" s="32"/>
      <c r="G8" s="32"/>
      <c r="H8" s="45"/>
      <c r="I8" s="32"/>
      <c r="J8" s="46">
        <v>12</v>
      </c>
      <c r="K8" s="47" cm="1">
        <f t="array" ref="K8">J8/J$15</f>
        <v>0.11214953271028</v>
      </c>
    </row>
    <row r="9" ht="17.4" customHeight="1">
      <c r="A9" s="48"/>
      <c r="B9" t="s" s="39">
        <v>36</v>
      </c>
      <c r="C9" s="49"/>
      <c r="D9" s="50"/>
      <c r="E9" s="32"/>
      <c r="F9" s="32"/>
      <c r="G9" s="32"/>
      <c r="H9" s="45"/>
      <c r="I9" s="32"/>
      <c r="J9" s="46">
        <v>16</v>
      </c>
      <c r="K9" s="47" cm="1">
        <f t="array" ref="K9">J9/J$15</f>
        <v>0.149532710280374</v>
      </c>
    </row>
    <row r="10" ht="17.4" customHeight="1">
      <c r="A10" s="48"/>
      <c r="B10" t="s" s="33">
        <v>37</v>
      </c>
      <c r="C10" s="49"/>
      <c r="D10" s="50"/>
      <c r="E10" s="32"/>
      <c r="F10" s="32"/>
      <c r="G10" s="32"/>
      <c r="H10" s="45"/>
      <c r="I10" s="32"/>
      <c r="J10" s="46">
        <v>7</v>
      </c>
      <c r="K10" s="47" cm="1">
        <f t="array" ref="K10">J10/J$15</f>
        <v>0.0654205607476636</v>
      </c>
    </row>
    <row r="11" ht="17.4" customHeight="1">
      <c r="A11" t="s" s="43">
        <v>39</v>
      </c>
      <c r="B11" t="s" s="39">
        <v>34</v>
      </c>
      <c r="C11" s="49"/>
      <c r="D11" s="50"/>
      <c r="E11" s="32"/>
      <c r="F11" s="32"/>
      <c r="G11" s="32"/>
      <c r="H11" s="45"/>
      <c r="I11" s="45"/>
      <c r="J11" s="46">
        <v>8</v>
      </c>
      <c r="K11" s="47" cm="1">
        <f t="array" ref="K11">J11/J$15</f>
        <v>0.0747663551401869</v>
      </c>
    </row>
    <row r="12" ht="17.4" customHeight="1">
      <c r="A12" s="48"/>
      <c r="B12" t="s" s="39">
        <v>35</v>
      </c>
      <c r="C12" s="49"/>
      <c r="D12" s="50"/>
      <c r="E12" s="32"/>
      <c r="F12" s="32"/>
      <c r="G12" s="32"/>
      <c r="H12" s="45"/>
      <c r="I12" s="45"/>
      <c r="J12" s="46">
        <v>3</v>
      </c>
      <c r="K12" s="47" cm="1">
        <f t="array" ref="K12">J12/J$15</f>
        <v>0.0280373831775701</v>
      </c>
    </row>
    <row r="13" ht="17.4" customHeight="1">
      <c r="A13" s="48"/>
      <c r="B13" t="s" s="39">
        <v>36</v>
      </c>
      <c r="C13" s="49"/>
      <c r="D13" s="50"/>
      <c r="E13" s="32"/>
      <c r="F13" s="32"/>
      <c r="G13" s="32"/>
      <c r="H13" s="45"/>
      <c r="I13" s="45"/>
      <c r="J13" s="46">
        <v>3</v>
      </c>
      <c r="K13" s="47" cm="1">
        <f t="array" ref="K13">J13/J$15</f>
        <v>0.0280373831775701</v>
      </c>
    </row>
    <row r="14" ht="17.4" customHeight="1">
      <c r="A14" s="48"/>
      <c r="B14" t="s" s="33">
        <v>37</v>
      </c>
      <c r="C14" s="49"/>
      <c r="D14" s="50"/>
      <c r="E14" s="32"/>
      <c r="F14" s="32"/>
      <c r="G14" s="32"/>
      <c r="H14" s="45"/>
      <c r="I14" s="45"/>
      <c r="J14" s="46">
        <v>16</v>
      </c>
      <c r="K14" s="47" cm="1">
        <f t="array" ref="K14">J14/J$15</f>
        <v>0.149532710280374</v>
      </c>
    </row>
    <row r="15" ht="14.4" customHeight="1">
      <c r="A15" s="51"/>
      <c r="B15" s="51"/>
      <c r="C15" s="52"/>
      <c r="D15" s="52"/>
      <c r="E15" s="51"/>
      <c r="F15" s="51"/>
      <c r="G15" s="51"/>
      <c r="H15" s="51"/>
      <c r="I15" s="53"/>
      <c r="J15" s="151" cm="1">
        <f t="array" ref="J15">SUM(J3:J14)</f>
        <v>107</v>
      </c>
      <c r="K15" s="55" cm="1">
        <f t="array" ref="K15">AVEDEV(K3:K14)</f>
        <v>0.0318016614745586</v>
      </c>
    </row>
    <row r="16" ht="14.4" customHeight="1">
      <c r="A16" s="58"/>
      <c r="B16" s="58"/>
      <c r="C16" s="58"/>
      <c r="D16" s="58"/>
      <c r="E16" s="58"/>
      <c r="F16" s="58"/>
      <c r="G16" s="58"/>
      <c r="H16" s="58"/>
      <c r="I16" s="58"/>
      <c r="J16" s="52"/>
      <c r="K16" s="58"/>
    </row>
    <row r="17" ht="14.4" customHeigh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</row>
    <row r="18" ht="14.4" customHeigh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</row>
    <row r="19" ht="14.4" customHeight="1">
      <c r="A19" s="58"/>
      <c r="B19" s="58"/>
      <c r="C19" s="58"/>
      <c r="D19" s="60"/>
      <c r="E19" s="58"/>
      <c r="F19" s="58"/>
      <c r="G19" s="58"/>
      <c r="H19" s="58"/>
      <c r="I19" s="58"/>
      <c r="J19" s="58"/>
      <c r="K19" s="58"/>
    </row>
    <row r="20" ht="17.4" customHeight="1">
      <c r="A20" s="58"/>
      <c r="B20" s="58"/>
      <c r="C20" s="31"/>
      <c r="D20" s="63"/>
      <c r="E20" s="74"/>
      <c r="F20" s="58"/>
      <c r="G20" s="58"/>
      <c r="H20" s="58"/>
      <c r="I20" s="58"/>
      <c r="J20" s="58"/>
      <c r="K20" s="58"/>
    </row>
  </sheetData>
  <mergeCells count="6">
    <mergeCell ref="E1:I1"/>
    <mergeCell ref="A3:A6"/>
    <mergeCell ref="C3:C14"/>
    <mergeCell ref="D3:D14"/>
    <mergeCell ref="A7:A10"/>
    <mergeCell ref="A11:A1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N123"/>
  <sheetViews>
    <sheetView workbookViewId="0" showGridLines="0" defaultGridColor="1"/>
  </sheetViews>
  <sheetFormatPr defaultColWidth="8.66667" defaultRowHeight="17.4" customHeight="1" outlineLevelRow="0" outlineLevelCol="0"/>
  <cols>
    <col min="1" max="1" width="12.6719" style="154" customWidth="1"/>
    <col min="2" max="2" width="32.6719" style="154" customWidth="1"/>
    <col min="3" max="3" width="22.1719" style="154" customWidth="1"/>
    <col min="4" max="4" width="12" style="154" customWidth="1"/>
    <col min="5" max="5" width="22.6719" style="154" customWidth="1"/>
    <col min="6" max="6" width="11.5" style="154" customWidth="1"/>
    <col min="7" max="7" width="19.5" style="154" customWidth="1"/>
    <col min="8" max="8" width="21.5" style="154" customWidth="1"/>
    <col min="9" max="9" width="29.5" style="154" customWidth="1"/>
    <col min="10" max="10" width="25.1719" style="154" customWidth="1"/>
    <col min="11" max="11" width="15.6719" style="154" customWidth="1"/>
    <col min="12" max="12" width="17.5" style="154" customWidth="1"/>
    <col min="13" max="13" width="24.5" style="154" customWidth="1"/>
    <col min="14" max="14" width="23.1719" style="154" customWidth="1"/>
    <col min="15" max="16384" width="8.67188" style="154" customWidth="1"/>
  </cols>
  <sheetData>
    <row r="1" ht="26.4" customHeight="1">
      <c r="A1" s="57"/>
      <c r="B1" s="58"/>
      <c r="C1" s="59"/>
      <c r="D1" s="58"/>
      <c r="E1" s="58"/>
      <c r="F1" s="58"/>
      <c r="G1" s="58"/>
      <c r="H1" s="58"/>
      <c r="I1" s="58"/>
      <c r="J1" s="57"/>
      <c r="K1" s="58"/>
      <c r="L1" s="58"/>
      <c r="M1" s="58"/>
      <c r="N1" s="58"/>
    </row>
    <row r="2" ht="17.4" customHeight="1">
      <c r="A2" s="57"/>
      <c r="B2" s="58"/>
      <c r="C2" s="58"/>
      <c r="D2" s="58"/>
      <c r="E2" s="58"/>
      <c r="F2" s="58"/>
      <c r="G2" s="58"/>
      <c r="H2" s="58"/>
      <c r="I2" s="58"/>
      <c r="J2" s="57"/>
      <c r="K2" s="58"/>
      <c r="L2" s="58"/>
      <c r="M2" s="58"/>
      <c r="N2" s="58"/>
    </row>
    <row r="3" ht="17.4" customHeight="1">
      <c r="A3" s="57"/>
      <c r="B3" s="58"/>
      <c r="C3" s="58"/>
      <c r="D3" s="58"/>
      <c r="E3" s="58"/>
      <c r="F3" s="58"/>
      <c r="G3" s="58"/>
      <c r="H3" s="58"/>
      <c r="I3" s="58"/>
      <c r="J3" s="57"/>
      <c r="K3" s="58"/>
      <c r="L3" s="58"/>
      <c r="M3" s="58"/>
      <c r="N3" s="58"/>
    </row>
    <row r="4" ht="17.4" customHeight="1">
      <c r="A4" s="57"/>
      <c r="B4" s="58"/>
      <c r="C4" s="58"/>
      <c r="D4" s="58"/>
      <c r="E4" s="58"/>
      <c r="F4" s="58"/>
      <c r="G4" s="58"/>
      <c r="H4" s="58"/>
      <c r="I4" s="58"/>
      <c r="J4" s="57"/>
      <c r="K4" s="58"/>
      <c r="L4" s="58"/>
      <c r="M4" s="58"/>
      <c r="N4" s="58"/>
    </row>
    <row r="5" ht="17.4" customHeight="1">
      <c r="A5" s="57"/>
      <c r="B5" s="58"/>
      <c r="C5" s="58"/>
      <c r="D5" s="58"/>
      <c r="E5" s="58"/>
      <c r="F5" s="60"/>
      <c r="G5" s="61"/>
      <c r="H5" s="61"/>
      <c r="I5" s="58"/>
      <c r="J5" s="57"/>
      <c r="K5" s="58"/>
      <c r="L5" s="58"/>
      <c r="M5" s="58"/>
      <c r="N5" s="58"/>
    </row>
    <row r="6" ht="17.4" customHeight="1">
      <c r="A6" s="57"/>
      <c r="B6" s="58"/>
      <c r="C6" s="60"/>
      <c r="D6" t="s" s="62">
        <v>40</v>
      </c>
      <c r="E6" s="36"/>
      <c r="F6" s="63"/>
      <c r="G6" s="64"/>
      <c r="H6" s="61"/>
      <c r="I6" s="58"/>
      <c r="J6" s="57"/>
      <c r="K6" s="58"/>
      <c r="L6" s="58"/>
      <c r="M6" s="58"/>
      <c r="N6" s="58"/>
    </row>
    <row r="7" ht="26.4" customHeight="1">
      <c r="A7" s="57"/>
      <c r="B7" s="36"/>
      <c r="C7" t="s" s="65">
        <v>41</v>
      </c>
      <c r="D7" t="s" s="66">
        <v>42</v>
      </c>
      <c r="E7" t="s" s="66">
        <v>43</v>
      </c>
      <c r="F7" t="s" s="66">
        <v>44</v>
      </c>
      <c r="G7" s="67"/>
      <c r="H7" s="61"/>
      <c r="I7" s="68"/>
      <c r="J7" s="69"/>
      <c r="K7" s="70"/>
      <c r="L7" s="58"/>
      <c r="M7" s="58"/>
      <c r="N7" s="58"/>
    </row>
    <row r="8" ht="48" customHeight="1">
      <c r="A8" s="71"/>
      <c r="B8" t="s" s="72">
        <v>45</v>
      </c>
      <c r="C8" t="s" s="72">
        <v>46</v>
      </c>
      <c r="D8" t="s" s="73">
        <v>47</v>
      </c>
      <c r="E8" t="s" s="65">
        <v>48</v>
      </c>
      <c r="F8" t="s" s="65">
        <v>49</v>
      </c>
      <c r="G8" s="74"/>
      <c r="H8" s="31"/>
      <c r="I8" t="s" s="75">
        <v>50</v>
      </c>
      <c r="J8" s="76"/>
      <c r="K8" s="68"/>
      <c r="L8" s="58"/>
      <c r="M8" s="70"/>
      <c r="N8" s="60"/>
    </row>
    <row r="9" ht="26.4" customHeight="1">
      <c r="A9" t="s" s="77">
        <v>33</v>
      </c>
      <c r="B9" t="s" s="78">
        <v>51</v>
      </c>
      <c r="C9" s="79">
        <v>12</v>
      </c>
      <c r="D9" s="80" cm="1">
        <f t="array" ref="D9">RANK(C9,C$9:C$20,1)</f>
        <v>9</v>
      </c>
      <c r="E9" s="81" cm="1">
        <f t="array" ref="E9">LN(LN(1/(1-((D9-0.3)/(12+0.4)))))</f>
        <v>0.19009431462729</v>
      </c>
      <c r="F9" s="81" cm="1">
        <f t="array" ref="F9">LN(C9)</f>
        <v>2.484906649788</v>
      </c>
      <c r="G9" s="74"/>
      <c r="H9" s="82"/>
      <c r="I9" t="s" s="83">
        <v>52</v>
      </c>
      <c r="J9" s="84" cm="1">
        <f t="array" ref="J9">1/SLOPE(F9:F20,E9:E20)</f>
        <v>2.20104266821981</v>
      </c>
      <c r="K9" t="s" s="85">
        <v>53</v>
      </c>
      <c r="L9" s="74"/>
      <c r="M9" s="36"/>
      <c r="N9" t="s" s="86">
        <v>54</v>
      </c>
    </row>
    <row r="10" ht="26.4" customHeight="1">
      <c r="A10" s="87"/>
      <c r="B10" t="s" s="88">
        <v>55</v>
      </c>
      <c r="C10" s="79">
        <v>8</v>
      </c>
      <c r="D10" s="80" cm="1">
        <f t="array" ref="D10">RANK(C10,C$9:C$20,1)</f>
        <v>6</v>
      </c>
      <c r="E10" s="81" cm="1">
        <f t="array" ref="E10">LN(LN(1/(1-((D10-0.3)/(12+0.4)))))</f>
        <v>-0.48517583329612</v>
      </c>
      <c r="F10" s="81" cm="1">
        <f t="array" ref="F10">LN(C10)</f>
        <v>2.07944154167984</v>
      </c>
      <c r="G10" s="74"/>
      <c r="H10" s="82"/>
      <c r="I10" t="s" s="89">
        <v>56</v>
      </c>
      <c r="J10" s="84" cm="1">
        <f t="array" ref="J10">EXP(INTERCEPT(F9:F20,E9:E20))</f>
        <v>10.8193426575256</v>
      </c>
      <c r="K10" t="s" s="85">
        <v>57</v>
      </c>
      <c r="L10" s="91"/>
      <c r="M10" t="s" s="92">
        <v>58</v>
      </c>
      <c r="N10" t="s" s="92">
        <v>59</v>
      </c>
    </row>
    <row r="11" ht="26.4" customHeight="1">
      <c r="A11" s="87"/>
      <c r="B11" t="s" s="93">
        <v>60</v>
      </c>
      <c r="C11" s="79">
        <v>9</v>
      </c>
      <c r="D11" s="80" cm="1">
        <f t="array" ref="D11">RANK(C11,C$9:C$20,1)</f>
        <v>8</v>
      </c>
      <c r="E11" s="81" cm="1">
        <f t="array" ref="E11">LN(LN(1/(1-((D11-0.3)/(12+0.4)))))</f>
        <v>-0.0303211099123923</v>
      </c>
      <c r="F11" s="81" cm="1">
        <f t="array" ref="F11">LN(C11)</f>
        <v>2.19722457733622</v>
      </c>
      <c r="G11" s="94"/>
      <c r="H11" s="95"/>
      <c r="I11" t="s" s="96">
        <v>61</v>
      </c>
      <c r="J11" s="97">
        <v>0.906136658354373</v>
      </c>
      <c r="K11" t="s" s="85">
        <v>62</v>
      </c>
      <c r="L11" s="91"/>
      <c r="M11" s="98" cm="1">
        <f t="array" ref="M11">AVERAGE(C9:C20)</f>
        <v>8.91666666666667</v>
      </c>
      <c r="N11" s="99" cm="1">
        <f t="array" ref="N11">EXPONDIST(C20,1/M11,1)</f>
        <v>0.8337715984483109</v>
      </c>
    </row>
    <row r="12" ht="21" customHeight="1">
      <c r="A12" s="87"/>
      <c r="B12" t="s" s="100">
        <v>63</v>
      </c>
      <c r="C12" s="79">
        <v>7</v>
      </c>
      <c r="D12" s="80" cm="1">
        <f t="array" ref="D12">RANK(C12,C$9:C$20,1)</f>
        <v>4</v>
      </c>
      <c r="E12" s="81" cm="1">
        <f t="array" ref="E12">LN(LN(1/(1-((D12-0.3)/(12+0.4)))))</f>
        <v>-1.03740398701285</v>
      </c>
      <c r="F12" s="81" cm="1">
        <f t="array" ref="F12">LN(C12)</f>
        <v>1.94591014905531</v>
      </c>
      <c r="G12" s="74"/>
      <c r="H12" s="60"/>
      <c r="I12" s="51"/>
      <c r="J12" s="101"/>
      <c r="K12" s="51"/>
      <c r="L12" s="58"/>
      <c r="M12" s="51"/>
      <c r="N12" s="51"/>
    </row>
    <row r="13" ht="21" customHeight="1">
      <c r="A13" t="s" s="77">
        <v>38</v>
      </c>
      <c r="B13" t="s" s="102">
        <v>51</v>
      </c>
      <c r="C13" s="79">
        <v>6</v>
      </c>
      <c r="D13" s="80" cm="1">
        <f t="array" ref="D13">RANK(C13,C$9:C$20,1)</f>
        <v>3</v>
      </c>
      <c r="E13" s="81" cm="1">
        <f t="array" ref="E13">LN(LN(1/(1-((D13-0.3)/(12+0.4)))))</f>
        <v>-1.40417084923896</v>
      </c>
      <c r="F13" s="81" cm="1">
        <f t="array" ref="F13">LN(C13)</f>
        <v>1.79175946922805</v>
      </c>
      <c r="G13" s="91"/>
      <c r="H13" s="103"/>
      <c r="I13" s="74"/>
      <c r="J13" s="57"/>
      <c r="K13" s="58"/>
      <c r="L13" s="58"/>
      <c r="M13" s="58"/>
      <c r="N13" s="58"/>
    </row>
    <row r="14" ht="21.6" customHeight="1">
      <c r="A14" s="87"/>
      <c r="B14" t="s" s="88">
        <v>55</v>
      </c>
      <c r="C14" s="79">
        <v>12</v>
      </c>
      <c r="D14" s="80" cm="1">
        <f t="array" ref="D14">RANK(C14,C$9:C$20,1)</f>
        <v>9</v>
      </c>
      <c r="E14" s="81" cm="1">
        <f t="array" ref="E14">LN(LN(1/(1-((D14-0.3)/(12+0.4)))))</f>
        <v>0.19009431462729</v>
      </c>
      <c r="F14" s="81" cm="1">
        <f t="array" ref="F14">LN(C14)</f>
        <v>2.484906649788</v>
      </c>
      <c r="G14" s="94"/>
      <c r="H14" s="104"/>
      <c r="I14" t="s" s="105">
        <v>64</v>
      </c>
      <c r="J14" s="106"/>
      <c r="K14" s="61"/>
      <c r="L14" s="58"/>
      <c r="M14" s="58"/>
      <c r="N14" s="58"/>
    </row>
    <row r="15" ht="21" customHeight="1">
      <c r="A15" s="87"/>
      <c r="B15" t="s" s="93">
        <v>60</v>
      </c>
      <c r="C15" s="79">
        <v>16</v>
      </c>
      <c r="D15" s="80" cm="1">
        <f t="array" ref="D15">RANK(C15,C$9:C$20,1)</f>
        <v>11</v>
      </c>
      <c r="E15" s="81" cm="1">
        <f t="array" ref="E15">LN(LN(1/(1-((D15-0.3)/(12+0.4)))))</f>
        <v>0.686660296925337</v>
      </c>
      <c r="F15" s="81" cm="1">
        <f t="array" ref="F15">LN(C15)</f>
        <v>2.77258872223978</v>
      </c>
      <c r="G15" s="74"/>
      <c r="H15" s="58"/>
      <c r="I15" s="107"/>
      <c r="J15" s="108"/>
      <c r="K15" s="61"/>
      <c r="L15" s="58"/>
      <c r="M15" s="58"/>
      <c r="N15" s="58"/>
    </row>
    <row r="16" ht="21" customHeight="1">
      <c r="A16" s="87"/>
      <c r="B16" t="s" s="100">
        <v>63</v>
      </c>
      <c r="C16" s="79">
        <v>7</v>
      </c>
      <c r="D16" s="80" cm="1">
        <f t="array" ref="D16">RANK(C16,C$9:C$20,1)</f>
        <v>4</v>
      </c>
      <c r="E16" s="81" cm="1">
        <f t="array" ref="E16">LN(LN(1/(1-((D16-0.3)/(12+0.4)))))</f>
        <v>-1.03740398701285</v>
      </c>
      <c r="F16" s="81" cm="1">
        <f t="array" ref="F16">LN(C16)</f>
        <v>1.94591014905531</v>
      </c>
      <c r="G16" s="74"/>
      <c r="H16" s="58"/>
      <c r="I16" s="58"/>
      <c r="J16" s="57"/>
      <c r="K16" s="58"/>
      <c r="L16" s="58"/>
      <c r="M16" s="58"/>
      <c r="N16" s="58"/>
    </row>
    <row r="17" ht="21" customHeight="1">
      <c r="A17" t="s" s="77">
        <v>39</v>
      </c>
      <c r="B17" t="s" s="102">
        <v>51</v>
      </c>
      <c r="C17" s="79">
        <v>8</v>
      </c>
      <c r="D17" s="80" cm="1">
        <f t="array" ref="D17">RANK(C17,C$9:C$20,1)</f>
        <v>6</v>
      </c>
      <c r="E17" s="81" cm="1">
        <f t="array" ref="E17">LN(LN(1/(1-((D17-0.3)/(12+0.4)))))</f>
        <v>-0.48517583329612</v>
      </c>
      <c r="F17" s="81" cm="1">
        <f t="array" ref="F17">LN(C17)</f>
        <v>2.07944154167984</v>
      </c>
      <c r="G17" s="94"/>
      <c r="H17" s="95"/>
      <c r="I17" s="58"/>
      <c r="J17" s="57"/>
      <c r="K17" s="58"/>
      <c r="L17" s="58"/>
      <c r="M17" s="58"/>
      <c r="N17" s="58"/>
    </row>
    <row r="18" ht="21" customHeight="1">
      <c r="A18" s="87"/>
      <c r="B18" t="s" s="88">
        <v>55</v>
      </c>
      <c r="C18" s="79">
        <v>3</v>
      </c>
      <c r="D18" s="80" cm="1">
        <f t="array" ref="D18">RANK(C18,C$9:C$20,1)</f>
        <v>1</v>
      </c>
      <c r="E18" s="81" cm="1">
        <f t="array" ref="E18">LN(LN(1/(1-((D18-0.3)/(12+0.4)))))</f>
        <v>-2.84545828455263</v>
      </c>
      <c r="F18" s="81" cm="1">
        <f t="array" ref="F18">LN(C18)</f>
        <v>1.09861228866811</v>
      </c>
      <c r="G18" s="74"/>
      <c r="H18" s="58"/>
      <c r="I18" s="58"/>
      <c r="J18" s="109"/>
      <c r="K18" s="58"/>
      <c r="L18" s="58"/>
      <c r="M18" s="58"/>
      <c r="N18" s="58"/>
    </row>
    <row r="19" ht="21" customHeight="1">
      <c r="A19" s="87"/>
      <c r="B19" t="s" s="93">
        <v>60</v>
      </c>
      <c r="C19" s="79">
        <v>3</v>
      </c>
      <c r="D19" s="80" cm="1">
        <f t="array" ref="D19">RANK(C19,C$9:C$20,1)</f>
        <v>1</v>
      </c>
      <c r="E19" s="81" cm="1">
        <f t="array" ref="E19">LN(LN(1/(1-((D19-0.3)/(12+0.4)))))</f>
        <v>-2.84545828455263</v>
      </c>
      <c r="F19" s="81" cm="1">
        <f t="array" ref="F19">LN(C19)</f>
        <v>1.09861228866811</v>
      </c>
      <c r="G19" s="110"/>
      <c r="H19" s="111"/>
      <c r="I19" s="58"/>
      <c r="J19" s="57"/>
      <c r="K19" s="58"/>
      <c r="L19" s="58"/>
      <c r="M19" s="58"/>
      <c r="N19" s="58"/>
    </row>
    <row r="20" ht="21" customHeight="1">
      <c r="A20" s="87"/>
      <c r="B20" t="s" s="100">
        <v>63</v>
      </c>
      <c r="C20" s="79">
        <v>16</v>
      </c>
      <c r="D20" s="80" cm="1">
        <f t="array" ref="D20">RANK(C20,C$9:C$20,1)</f>
        <v>11</v>
      </c>
      <c r="E20" s="81" cm="1">
        <f t="array" ref="E20">LN(LN(1/(1-((D20-0.3)/(12+0.4)))))</f>
        <v>0.686660296925337</v>
      </c>
      <c r="F20" s="81" cm="1">
        <f t="array" ref="F20">LN(C20)</f>
        <v>2.77258872223978</v>
      </c>
      <c r="G20" s="94"/>
      <c r="H20" s="95"/>
      <c r="I20" s="58"/>
      <c r="J20" s="57"/>
      <c r="K20" s="58"/>
      <c r="L20" s="58"/>
      <c r="M20" s="58"/>
      <c r="N20" s="58"/>
    </row>
    <row r="21" ht="21" customHeight="1">
      <c r="A21" s="112"/>
      <c r="B21" t="s" s="113">
        <v>65</v>
      </c>
      <c r="C21" s="114" cm="1">
        <f t="array" ref="C21">C23</f>
        <v>15.8039765335507</v>
      </c>
      <c r="D21" s="115"/>
      <c r="E21" s="116"/>
      <c r="F21" s="116"/>
      <c r="G21" s="58"/>
      <c r="H21" s="58"/>
      <c r="I21" s="58"/>
      <c r="J21" s="57"/>
      <c r="K21" s="58"/>
      <c r="L21" s="58"/>
      <c r="M21" s="58"/>
      <c r="N21" s="58"/>
    </row>
    <row r="22" ht="28.8" customHeight="1">
      <c r="A22" s="57"/>
      <c r="B22" s="117"/>
      <c r="C22" s="118"/>
      <c r="D22" s="95"/>
      <c r="E22" s="119"/>
      <c r="F22" s="119"/>
      <c r="G22" s="95"/>
      <c r="H22" s="120"/>
      <c r="I22" s="121"/>
      <c r="J22" s="122"/>
      <c r="K22" s="123"/>
      <c r="L22" s="58"/>
      <c r="M22" s="58"/>
      <c r="N22" s="58"/>
    </row>
    <row r="23" ht="79.2" customHeight="1">
      <c r="A23" s="124"/>
      <c r="B23" t="s" s="125">
        <v>66</v>
      </c>
      <c r="C23" s="138" cm="1">
        <f t="array" ref="C23">EXP(((LN(-LN(1-90%)))/(J9))+(LN(J10)))</f>
        <v>15.8039765335507</v>
      </c>
      <c r="D23" s="94"/>
      <c r="E23" s="119"/>
      <c r="F23" s="119"/>
      <c r="G23" s="95"/>
      <c r="H23" s="127"/>
      <c r="I23" s="123"/>
      <c r="J23" s="122"/>
      <c r="K23" s="123"/>
      <c r="L23" s="58"/>
      <c r="M23" s="58"/>
      <c r="N23" s="58"/>
    </row>
    <row r="24" ht="79.2" customHeight="1">
      <c r="A24" s="124"/>
      <c r="B24" t="s" s="128">
        <v>67</v>
      </c>
      <c r="C24" s="129" cm="1">
        <f t="array" ref="C24">LN(1-75%)/(-1/M11)</f>
        <v>12.3611247199857</v>
      </c>
      <c r="D24" s="130"/>
      <c r="E24" s="58"/>
      <c r="F24" s="58"/>
      <c r="G24" s="123"/>
      <c r="H24" s="131"/>
      <c r="I24" s="123"/>
      <c r="J24" s="122"/>
      <c r="K24" s="123"/>
      <c r="L24" s="58"/>
      <c r="M24" s="58"/>
      <c r="N24" s="58"/>
    </row>
    <row r="25" ht="28.8" customHeight="1">
      <c r="A25" s="57"/>
      <c r="B25" s="132"/>
      <c r="C25" s="133"/>
      <c r="D25" s="58"/>
      <c r="E25" s="58"/>
      <c r="F25" s="58"/>
      <c r="G25" s="123"/>
      <c r="H25" s="131"/>
      <c r="I25" s="123"/>
      <c r="J25" s="122"/>
      <c r="K25" s="123"/>
      <c r="L25" s="58"/>
      <c r="M25" s="58"/>
      <c r="N25" s="58"/>
    </row>
    <row r="26" ht="28.8" customHeight="1">
      <c r="A26" s="134"/>
      <c r="B26" t="s" s="135">
        <v>68</v>
      </c>
      <c r="C26" s="136" cm="1">
        <f t="array" ref="C26">STDEVP(C9:C20)</f>
        <v>4.15247583443366</v>
      </c>
      <c r="D26" s="94"/>
      <c r="E26" s="95"/>
      <c r="F26" s="95"/>
      <c r="G26" s="123"/>
      <c r="H26" s="137"/>
      <c r="I26" s="123"/>
      <c r="J26" s="122"/>
      <c r="K26" s="123"/>
      <c r="L26" s="58"/>
      <c r="M26" s="58"/>
      <c r="N26" s="58"/>
    </row>
    <row r="27" ht="28.8" customHeight="1">
      <c r="A27" s="134"/>
      <c r="B27" t="s" s="135">
        <v>69</v>
      </c>
      <c r="C27" s="138" cm="1">
        <f t="array" ref="C27">C23+(NORMSDIST(0.99)*(C26/SQRT(12)))</f>
        <v>16.8095953344982</v>
      </c>
      <c r="D27" s="139"/>
      <c r="E27" s="95"/>
      <c r="F27" s="95"/>
      <c r="G27" s="123"/>
      <c r="H27" s="123"/>
      <c r="I27" s="123"/>
      <c r="J27" s="122"/>
      <c r="K27" s="123"/>
      <c r="L27" s="58"/>
      <c r="M27" s="58"/>
      <c r="N27" s="58"/>
    </row>
    <row r="28" ht="28.8" customHeight="1">
      <c r="A28" s="134"/>
      <c r="B28" t="s" s="135">
        <v>70</v>
      </c>
      <c r="C28" s="140" cm="1">
        <f t="array" ref="C28">C23-(NORMSDIST(0.99)*(C26/SQRT(12)))</f>
        <v>14.7983577326032</v>
      </c>
      <c r="D28" s="139"/>
      <c r="E28" s="95"/>
      <c r="F28" s="95"/>
      <c r="G28" s="123"/>
      <c r="H28" s="123"/>
      <c r="I28" s="123"/>
      <c r="J28" s="122"/>
      <c r="K28" s="123"/>
      <c r="L28" s="58"/>
      <c r="M28" s="58"/>
      <c r="N28" s="58"/>
    </row>
    <row r="29" ht="28.8" customHeight="1">
      <c r="A29" s="57"/>
      <c r="B29" s="51"/>
      <c r="C29" s="141"/>
      <c r="D29" s="58"/>
      <c r="E29" s="58"/>
      <c r="F29" s="58"/>
      <c r="G29" s="123"/>
      <c r="H29" s="131"/>
      <c r="I29" s="123"/>
      <c r="J29" s="122"/>
      <c r="K29" s="123"/>
      <c r="L29" s="58"/>
      <c r="M29" s="58"/>
      <c r="N29" s="58"/>
    </row>
    <row r="30" ht="28.8" customHeight="1">
      <c r="A30" s="57"/>
      <c r="B30" s="58"/>
      <c r="C30" s="142"/>
      <c r="D30" s="58"/>
      <c r="E30" s="58"/>
      <c r="F30" s="58"/>
      <c r="G30" s="123"/>
      <c r="H30" s="131"/>
      <c r="I30" s="123"/>
      <c r="J30" s="122"/>
      <c r="K30" s="123"/>
      <c r="L30" s="58"/>
      <c r="M30" s="58"/>
      <c r="N30" s="58"/>
    </row>
    <row r="31" ht="17.4" customHeight="1">
      <c r="A31" s="57"/>
      <c r="B31" s="58"/>
      <c r="C31" s="58"/>
      <c r="D31" s="58"/>
      <c r="E31" s="58"/>
      <c r="F31" s="58"/>
      <c r="G31" s="58"/>
      <c r="H31" s="58"/>
      <c r="I31" s="58"/>
      <c r="J31" s="57"/>
      <c r="K31" s="58"/>
      <c r="L31" s="58"/>
      <c r="M31" s="58"/>
      <c r="N31" s="58"/>
    </row>
    <row r="32" ht="17.4" customHeight="1">
      <c r="A32" s="57"/>
      <c r="B32" s="58"/>
      <c r="C32" s="58"/>
      <c r="D32" s="58"/>
      <c r="E32" s="58"/>
      <c r="F32" s="58"/>
      <c r="G32" s="58"/>
      <c r="H32" s="58"/>
      <c r="I32" s="58"/>
      <c r="J32" s="57"/>
      <c r="K32" s="58"/>
      <c r="L32" s="58"/>
      <c r="M32" s="58"/>
      <c r="N32" s="58"/>
    </row>
    <row r="33" ht="17.4" customHeight="1">
      <c r="A33" s="61"/>
      <c r="B33" s="123"/>
      <c r="C33" s="143"/>
      <c r="D33" s="58"/>
      <c r="E33" s="58"/>
      <c r="F33" s="58"/>
      <c r="G33" s="58"/>
      <c r="H33" s="58"/>
      <c r="I33" s="144"/>
      <c r="J33" s="57"/>
      <c r="K33" s="58"/>
      <c r="L33" s="58"/>
      <c r="M33" s="58"/>
      <c r="N33" s="58"/>
    </row>
    <row r="34" ht="17.4" customHeight="1">
      <c r="A34" s="61"/>
      <c r="B34" s="123"/>
      <c r="C34" s="143"/>
      <c r="D34" s="58"/>
      <c r="E34" s="58"/>
      <c r="F34" s="145"/>
      <c r="G34" s="58"/>
      <c r="H34" s="58"/>
      <c r="I34" s="58"/>
      <c r="J34" s="57"/>
      <c r="K34" s="58"/>
      <c r="L34" s="58"/>
      <c r="M34" s="58"/>
      <c r="N34" s="58"/>
    </row>
    <row r="35" ht="17.4" customHeight="1">
      <c r="A35" s="61"/>
      <c r="B35" s="123"/>
      <c r="C35" s="143"/>
      <c r="D35" s="58"/>
      <c r="E35" s="58"/>
      <c r="F35" s="146"/>
      <c r="G35" s="58"/>
      <c r="H35" s="58"/>
      <c r="I35" s="58"/>
      <c r="J35" s="57"/>
      <c r="K35" s="58"/>
      <c r="L35" s="58"/>
      <c r="M35" s="58"/>
      <c r="N35" s="58"/>
    </row>
    <row r="36" ht="17.4" customHeight="1">
      <c r="A36" s="61"/>
      <c r="B36" s="123"/>
      <c r="C36" s="143"/>
      <c r="D36" s="58"/>
      <c r="E36" s="58"/>
      <c r="F36" s="147"/>
      <c r="G36" s="58"/>
      <c r="H36" s="58"/>
      <c r="I36" s="58"/>
      <c r="J36" s="57"/>
      <c r="K36" s="58"/>
      <c r="L36" s="58"/>
      <c r="M36" s="58"/>
      <c r="N36" s="58"/>
    </row>
    <row r="37" ht="17.4" customHeight="1">
      <c r="A37" s="57"/>
      <c r="B37" s="58"/>
      <c r="C37" s="58"/>
      <c r="D37" s="58"/>
      <c r="E37" s="58"/>
      <c r="F37" s="58"/>
      <c r="G37" s="58"/>
      <c r="H37" s="58"/>
      <c r="I37" s="58"/>
      <c r="J37" s="57"/>
      <c r="K37" s="58"/>
      <c r="L37" s="58"/>
      <c r="M37" s="58"/>
      <c r="N37" s="58"/>
    </row>
    <row r="38" ht="17.4" customHeight="1">
      <c r="A38" s="57"/>
      <c r="B38" s="58"/>
      <c r="C38" s="58"/>
      <c r="D38" s="58"/>
      <c r="E38" s="58"/>
      <c r="F38" s="58"/>
      <c r="G38" s="58"/>
      <c r="H38" s="58"/>
      <c r="I38" s="58"/>
      <c r="J38" s="57"/>
      <c r="K38" s="58"/>
      <c r="L38" s="58"/>
      <c r="M38" s="58"/>
      <c r="N38" s="58"/>
    </row>
    <row r="39" ht="17.4" customHeight="1">
      <c r="A39" s="57"/>
      <c r="B39" s="58"/>
      <c r="C39" s="58"/>
      <c r="D39" s="58"/>
      <c r="E39" s="58"/>
      <c r="F39" s="58"/>
      <c r="G39" s="58"/>
      <c r="H39" s="58"/>
      <c r="I39" s="58"/>
      <c r="J39" s="57"/>
      <c r="K39" s="58"/>
      <c r="L39" s="58"/>
      <c r="M39" s="58"/>
      <c r="N39" s="58"/>
    </row>
    <row r="40" ht="17.4" customHeight="1">
      <c r="A40" s="57"/>
      <c r="B40" s="58"/>
      <c r="C40" s="58"/>
      <c r="D40" s="58"/>
      <c r="E40" s="58"/>
      <c r="F40" s="58"/>
      <c r="G40" s="58"/>
      <c r="H40" s="58"/>
      <c r="I40" s="58"/>
      <c r="J40" s="57"/>
      <c r="K40" s="58"/>
      <c r="L40" s="58"/>
      <c r="M40" s="58"/>
      <c r="N40" s="58"/>
    </row>
    <row r="41" ht="17.4" customHeight="1">
      <c r="A41" s="57"/>
      <c r="B41" s="58"/>
      <c r="C41" s="58"/>
      <c r="D41" s="58"/>
      <c r="E41" s="58"/>
      <c r="F41" s="58"/>
      <c r="G41" s="58"/>
      <c r="H41" s="58"/>
      <c r="I41" s="58"/>
      <c r="J41" s="57"/>
      <c r="K41" s="58"/>
      <c r="L41" s="58"/>
      <c r="M41" s="58"/>
      <c r="N41" s="58"/>
    </row>
    <row r="42" ht="17.4" customHeight="1">
      <c r="A42" s="57"/>
      <c r="B42" s="58"/>
      <c r="C42" s="58"/>
      <c r="D42" s="58"/>
      <c r="E42" s="58"/>
      <c r="F42" s="58"/>
      <c r="G42" s="58"/>
      <c r="H42" s="58"/>
      <c r="I42" s="58"/>
      <c r="J42" s="57"/>
      <c r="K42" s="58"/>
      <c r="L42" s="58"/>
      <c r="M42" s="58"/>
      <c r="N42" s="58"/>
    </row>
    <row r="43" ht="17.4" customHeight="1">
      <c r="A43" s="57"/>
      <c r="B43" s="58"/>
      <c r="C43" s="58"/>
      <c r="D43" s="58"/>
      <c r="E43" s="58"/>
      <c r="F43" s="58"/>
      <c r="G43" s="58"/>
      <c r="H43" s="58"/>
      <c r="I43" s="58"/>
      <c r="J43" s="57"/>
      <c r="K43" s="58"/>
      <c r="L43" s="58"/>
      <c r="M43" s="58"/>
      <c r="N43" s="58"/>
    </row>
    <row r="44" ht="17.4" customHeight="1">
      <c r="A44" s="57"/>
      <c r="B44" s="58"/>
      <c r="C44" s="58"/>
      <c r="D44" s="58"/>
      <c r="E44" s="58"/>
      <c r="F44" s="58"/>
      <c r="G44" s="58"/>
      <c r="H44" s="58"/>
      <c r="I44" s="58"/>
      <c r="J44" s="57"/>
      <c r="K44" s="58"/>
      <c r="L44" s="58"/>
      <c r="M44" s="58"/>
      <c r="N44" s="58"/>
    </row>
    <row r="45" ht="17.4" customHeight="1">
      <c r="A45" s="57"/>
      <c r="B45" s="58"/>
      <c r="C45" s="58"/>
      <c r="D45" s="58"/>
      <c r="E45" s="58"/>
      <c r="F45" s="58"/>
      <c r="G45" s="58"/>
      <c r="H45" s="58"/>
      <c r="I45" s="58"/>
      <c r="J45" s="57"/>
      <c r="K45" s="58"/>
      <c r="L45" s="58"/>
      <c r="M45" s="58"/>
      <c r="N45" s="58"/>
    </row>
    <row r="46" ht="17.4" customHeight="1">
      <c r="A46" s="57"/>
      <c r="B46" s="58"/>
      <c r="C46" s="58"/>
      <c r="D46" s="58"/>
      <c r="E46" s="58"/>
      <c r="F46" s="58"/>
      <c r="G46" s="58"/>
      <c r="H46" s="58"/>
      <c r="I46" s="58"/>
      <c r="J46" s="57"/>
      <c r="K46" s="58"/>
      <c r="L46" s="58"/>
      <c r="M46" s="58"/>
      <c r="N46" s="58"/>
    </row>
    <row r="47" ht="17.4" customHeight="1">
      <c r="A47" s="57"/>
      <c r="B47" s="58"/>
      <c r="C47" s="58"/>
      <c r="D47" s="58"/>
      <c r="E47" s="58"/>
      <c r="F47" s="58"/>
      <c r="G47" s="58"/>
      <c r="H47" s="58"/>
      <c r="I47" s="58"/>
      <c r="J47" s="57"/>
      <c r="K47" s="58"/>
      <c r="L47" s="58"/>
      <c r="M47" s="58"/>
      <c r="N47" s="58"/>
    </row>
    <row r="48" ht="23.4" customHeight="1">
      <c r="A48" s="61"/>
      <c r="B48" s="123"/>
      <c r="C48" s="143"/>
      <c r="D48" s="58"/>
      <c r="E48" s="58"/>
      <c r="F48" s="148"/>
      <c r="G48" s="58"/>
      <c r="H48" s="58"/>
      <c r="I48" s="58"/>
      <c r="J48" s="57"/>
      <c r="K48" s="58"/>
      <c r="L48" s="58"/>
      <c r="M48" s="58"/>
      <c r="N48" s="58"/>
    </row>
    <row r="49" ht="17.4" customHeight="1">
      <c r="A49" s="57"/>
      <c r="B49" s="58"/>
      <c r="C49" s="58"/>
      <c r="D49" s="58"/>
      <c r="E49" s="58"/>
      <c r="F49" s="58"/>
      <c r="G49" s="58"/>
      <c r="H49" s="58"/>
      <c r="I49" s="58"/>
      <c r="J49" s="57"/>
      <c r="K49" s="58"/>
      <c r="L49" s="58"/>
      <c r="M49" s="58"/>
      <c r="N49" s="58"/>
    </row>
    <row r="50" ht="17.4" customHeight="1">
      <c r="A50" s="57"/>
      <c r="B50" s="58"/>
      <c r="C50" s="58"/>
      <c r="D50" s="58"/>
      <c r="E50" s="58"/>
      <c r="F50" s="58"/>
      <c r="G50" s="58"/>
      <c r="H50" s="58"/>
      <c r="I50" s="58"/>
      <c r="J50" s="57"/>
      <c r="K50" s="58"/>
      <c r="L50" s="58"/>
      <c r="M50" s="58"/>
      <c r="N50" s="58"/>
    </row>
    <row r="51" ht="17.4" customHeight="1">
      <c r="A51" s="57"/>
      <c r="B51" s="58"/>
      <c r="C51" s="58"/>
      <c r="D51" s="58"/>
      <c r="E51" s="58"/>
      <c r="F51" s="58"/>
      <c r="G51" s="58"/>
      <c r="H51" s="58"/>
      <c r="I51" s="58"/>
      <c r="J51" s="57"/>
      <c r="K51" s="58"/>
      <c r="L51" s="58"/>
      <c r="M51" s="58"/>
      <c r="N51" s="58"/>
    </row>
    <row r="52" ht="17.4" customHeight="1">
      <c r="A52" s="57"/>
      <c r="B52" s="58"/>
      <c r="C52" s="58"/>
      <c r="D52" s="58"/>
      <c r="E52" s="58"/>
      <c r="F52" s="58"/>
      <c r="G52" s="58"/>
      <c r="H52" s="58"/>
      <c r="I52" s="58"/>
      <c r="J52" s="57"/>
      <c r="K52" s="58"/>
      <c r="L52" s="58"/>
      <c r="M52" s="58"/>
      <c r="N52" s="58"/>
    </row>
    <row r="53" ht="17.4" customHeight="1">
      <c r="A53" s="57"/>
      <c r="B53" s="58"/>
      <c r="C53" s="58"/>
      <c r="D53" s="58"/>
      <c r="E53" s="58"/>
      <c r="F53" s="58"/>
      <c r="G53" s="58"/>
      <c r="H53" s="58"/>
      <c r="I53" s="58"/>
      <c r="J53" s="57"/>
      <c r="K53" s="58"/>
      <c r="L53" s="58"/>
      <c r="M53" s="58"/>
      <c r="N53" s="58"/>
    </row>
    <row r="54" ht="17.4" customHeight="1">
      <c r="A54" s="57"/>
      <c r="B54" s="58"/>
      <c r="C54" s="58"/>
      <c r="D54" s="58"/>
      <c r="E54" s="58"/>
      <c r="F54" s="58"/>
      <c r="G54" s="58"/>
      <c r="H54" s="58"/>
      <c r="I54" s="58"/>
      <c r="J54" s="57"/>
      <c r="K54" s="58"/>
      <c r="L54" s="58"/>
      <c r="M54" s="58"/>
      <c r="N54" s="58"/>
    </row>
    <row r="55" ht="17.4" customHeight="1">
      <c r="A55" s="57"/>
      <c r="B55" s="58"/>
      <c r="C55" s="58"/>
      <c r="D55" s="58"/>
      <c r="E55" s="58"/>
      <c r="F55" s="58"/>
      <c r="G55" s="58"/>
      <c r="H55" s="58"/>
      <c r="I55" s="58"/>
      <c r="J55" s="57"/>
      <c r="K55" s="58"/>
      <c r="L55" s="58"/>
      <c r="M55" s="58"/>
      <c r="N55" s="58"/>
    </row>
    <row r="56" ht="17.4" customHeight="1">
      <c r="A56" s="57"/>
      <c r="B56" s="58"/>
      <c r="C56" s="58"/>
      <c r="D56" s="58"/>
      <c r="E56" s="58"/>
      <c r="F56" s="58"/>
      <c r="G56" s="58"/>
      <c r="H56" s="58"/>
      <c r="I56" s="58"/>
      <c r="J56" s="57"/>
      <c r="K56" s="58"/>
      <c r="L56" s="58"/>
      <c r="M56" s="58"/>
      <c r="N56" s="58"/>
    </row>
    <row r="57" ht="17.4" customHeight="1">
      <c r="A57" s="57"/>
      <c r="B57" s="58"/>
      <c r="C57" s="58"/>
      <c r="D57" s="58"/>
      <c r="E57" s="58"/>
      <c r="F57" s="58"/>
      <c r="G57" s="58"/>
      <c r="H57" s="58"/>
      <c r="I57" s="58"/>
      <c r="J57" s="57"/>
      <c r="K57" s="58"/>
      <c r="L57" s="58"/>
      <c r="M57" s="58"/>
      <c r="N57" s="58"/>
    </row>
    <row r="58" ht="17.4" customHeight="1">
      <c r="A58" s="57"/>
      <c r="B58" s="58"/>
      <c r="C58" s="58"/>
      <c r="D58" s="58"/>
      <c r="E58" s="58"/>
      <c r="F58" s="58"/>
      <c r="G58" s="58"/>
      <c r="H58" s="58"/>
      <c r="I58" s="58"/>
      <c r="J58" s="57"/>
      <c r="K58" s="58"/>
      <c r="L58" s="58"/>
      <c r="M58" s="58"/>
      <c r="N58" s="58"/>
    </row>
    <row r="59" ht="17.4" customHeight="1">
      <c r="A59" s="57"/>
      <c r="B59" s="58"/>
      <c r="C59" s="58"/>
      <c r="D59" s="58"/>
      <c r="E59" s="58"/>
      <c r="F59" s="58"/>
      <c r="G59" s="58"/>
      <c r="H59" s="58"/>
      <c r="I59" s="58"/>
      <c r="J59" s="57"/>
      <c r="K59" s="58"/>
      <c r="L59" s="58"/>
      <c r="M59" s="58"/>
      <c r="N59" s="58"/>
    </row>
    <row r="60" ht="17.4" customHeight="1">
      <c r="A60" s="57"/>
      <c r="B60" s="58"/>
      <c r="C60" s="58"/>
      <c r="D60" s="58"/>
      <c r="E60" s="58"/>
      <c r="F60" s="58"/>
      <c r="G60" s="58"/>
      <c r="H60" s="58"/>
      <c r="I60" s="58"/>
      <c r="J60" s="57"/>
      <c r="K60" s="58"/>
      <c r="L60" s="58"/>
      <c r="M60" s="58"/>
      <c r="N60" s="58"/>
    </row>
    <row r="61" ht="17.4" customHeight="1">
      <c r="A61" s="57"/>
      <c r="B61" s="58"/>
      <c r="C61" s="58"/>
      <c r="D61" s="58"/>
      <c r="E61" s="58"/>
      <c r="F61" s="58"/>
      <c r="G61" s="58"/>
      <c r="H61" s="58"/>
      <c r="I61" s="58"/>
      <c r="J61" s="57"/>
      <c r="K61" s="58"/>
      <c r="L61" s="58"/>
      <c r="M61" s="58"/>
      <c r="N61" s="58"/>
    </row>
    <row r="62" ht="17.4" customHeight="1">
      <c r="A62" s="57"/>
      <c r="B62" s="58"/>
      <c r="C62" s="58"/>
      <c r="D62" s="58"/>
      <c r="E62" s="58"/>
      <c r="F62" s="58"/>
      <c r="G62" s="58"/>
      <c r="H62" s="58"/>
      <c r="I62" s="58"/>
      <c r="J62" s="57"/>
      <c r="K62" s="58"/>
      <c r="L62" s="58"/>
      <c r="M62" s="58"/>
      <c r="N62" s="58"/>
    </row>
    <row r="63" ht="17.4" customHeight="1">
      <c r="A63" s="57"/>
      <c r="B63" s="58"/>
      <c r="C63" s="58"/>
      <c r="D63" s="58"/>
      <c r="E63" s="58"/>
      <c r="F63" s="58"/>
      <c r="G63" s="58"/>
      <c r="H63" s="58"/>
      <c r="I63" s="58"/>
      <c r="J63" s="57"/>
      <c r="K63" s="58"/>
      <c r="L63" s="58"/>
      <c r="M63" s="58"/>
      <c r="N63" s="58"/>
    </row>
    <row r="64" ht="17.4" customHeight="1">
      <c r="A64" s="57"/>
      <c r="B64" s="58"/>
      <c r="C64" s="58"/>
      <c r="D64" s="58"/>
      <c r="E64" s="58"/>
      <c r="F64" s="58"/>
      <c r="G64" s="58"/>
      <c r="H64" s="58"/>
      <c r="I64" s="58"/>
      <c r="J64" s="57"/>
      <c r="K64" s="58"/>
      <c r="L64" s="58"/>
      <c r="M64" s="58"/>
      <c r="N64" s="58"/>
    </row>
    <row r="65" ht="17.4" customHeight="1">
      <c r="A65" s="57"/>
      <c r="B65" s="58"/>
      <c r="C65" s="58"/>
      <c r="D65" s="58"/>
      <c r="E65" s="58"/>
      <c r="F65" s="58"/>
      <c r="G65" s="58"/>
      <c r="H65" s="58"/>
      <c r="I65" s="58"/>
      <c r="J65" s="57"/>
      <c r="K65" s="58"/>
      <c r="L65" s="58"/>
      <c r="M65" s="58"/>
      <c r="N65" s="58"/>
    </row>
    <row r="66" ht="17.4" customHeight="1">
      <c r="A66" s="57"/>
      <c r="B66" s="58"/>
      <c r="C66" s="58"/>
      <c r="D66" s="58"/>
      <c r="E66" s="58"/>
      <c r="F66" s="58"/>
      <c r="G66" s="58"/>
      <c r="H66" s="58"/>
      <c r="I66" s="58"/>
      <c r="J66" s="57"/>
      <c r="K66" s="58"/>
      <c r="L66" s="58"/>
      <c r="M66" s="58"/>
      <c r="N66" s="58"/>
    </row>
    <row r="67" ht="17.4" customHeight="1">
      <c r="A67" s="57"/>
      <c r="B67" s="58"/>
      <c r="C67" s="58"/>
      <c r="D67" s="58"/>
      <c r="E67" s="58"/>
      <c r="F67" s="58"/>
      <c r="G67" s="58"/>
      <c r="H67" s="58"/>
      <c r="I67" s="58"/>
      <c r="J67" s="57"/>
      <c r="K67" s="58"/>
      <c r="L67" s="58"/>
      <c r="M67" s="58"/>
      <c r="N67" s="58"/>
    </row>
    <row r="68" ht="17.4" customHeight="1">
      <c r="A68" s="57"/>
      <c r="B68" s="58"/>
      <c r="C68" s="58"/>
      <c r="D68" s="58"/>
      <c r="E68" s="58"/>
      <c r="F68" s="58"/>
      <c r="G68" s="58"/>
      <c r="H68" s="58"/>
      <c r="I68" s="58"/>
      <c r="J68" s="57"/>
      <c r="K68" s="58"/>
      <c r="L68" s="58"/>
      <c r="M68" s="58"/>
      <c r="N68" s="58"/>
    </row>
    <row r="69" ht="17.4" customHeight="1">
      <c r="A69" s="57"/>
      <c r="B69" s="58"/>
      <c r="C69" s="58"/>
      <c r="D69" s="58"/>
      <c r="E69" s="58"/>
      <c r="F69" s="58"/>
      <c r="G69" s="58"/>
      <c r="H69" s="58"/>
      <c r="I69" s="58"/>
      <c r="J69" s="57"/>
      <c r="K69" s="58"/>
      <c r="L69" s="58"/>
      <c r="M69" s="58"/>
      <c r="N69" s="58"/>
    </row>
    <row r="70" ht="17.4" customHeight="1">
      <c r="A70" s="57"/>
      <c r="B70" s="58"/>
      <c r="C70" s="58"/>
      <c r="D70" s="58"/>
      <c r="E70" s="58"/>
      <c r="F70" s="58"/>
      <c r="G70" s="58"/>
      <c r="H70" s="58"/>
      <c r="I70" s="58"/>
      <c r="J70" s="57"/>
      <c r="K70" s="58"/>
      <c r="L70" s="58"/>
      <c r="M70" s="58"/>
      <c r="N70" s="58"/>
    </row>
    <row r="71" ht="17.4" customHeight="1">
      <c r="A71" s="57"/>
      <c r="B71" s="58"/>
      <c r="C71" s="58"/>
      <c r="D71" s="58"/>
      <c r="E71" s="58"/>
      <c r="F71" s="58"/>
      <c r="G71" s="58"/>
      <c r="H71" s="58"/>
      <c r="I71" s="58"/>
      <c r="J71" s="57"/>
      <c r="K71" s="58"/>
      <c r="L71" s="58"/>
      <c r="M71" s="58"/>
      <c r="N71" s="58"/>
    </row>
    <row r="72" ht="17.4" customHeight="1">
      <c r="A72" s="57"/>
      <c r="B72" s="58"/>
      <c r="C72" s="58"/>
      <c r="D72" s="58"/>
      <c r="E72" s="58"/>
      <c r="F72" s="58"/>
      <c r="G72" s="58"/>
      <c r="H72" s="58"/>
      <c r="I72" s="58"/>
      <c r="J72" s="57"/>
      <c r="K72" s="58"/>
      <c r="L72" s="58"/>
      <c r="M72" s="58"/>
      <c r="N72" s="58"/>
    </row>
    <row r="73" ht="17.4" customHeight="1">
      <c r="A73" s="57"/>
      <c r="B73" s="58"/>
      <c r="C73" s="58"/>
      <c r="D73" s="58"/>
      <c r="E73" s="58"/>
      <c r="F73" s="58"/>
      <c r="G73" s="58"/>
      <c r="H73" s="58"/>
      <c r="I73" s="58"/>
      <c r="J73" s="57"/>
      <c r="K73" s="58"/>
      <c r="L73" s="58"/>
      <c r="M73" s="58"/>
      <c r="N73" s="58"/>
    </row>
    <row r="74" ht="17.4" customHeight="1">
      <c r="A74" s="57"/>
      <c r="B74" s="58"/>
      <c r="C74" s="58"/>
      <c r="D74" s="58"/>
      <c r="E74" s="58"/>
      <c r="F74" s="58"/>
      <c r="G74" s="58"/>
      <c r="H74" s="58"/>
      <c r="I74" s="58"/>
      <c r="J74" s="57"/>
      <c r="K74" s="58"/>
      <c r="L74" s="58"/>
      <c r="M74" s="58"/>
      <c r="N74" s="58"/>
    </row>
    <row r="75" ht="17.4" customHeight="1">
      <c r="A75" s="57"/>
      <c r="B75" s="58"/>
      <c r="C75" s="58"/>
      <c r="D75" s="58"/>
      <c r="E75" s="58"/>
      <c r="F75" s="58"/>
      <c r="G75" s="58"/>
      <c r="H75" s="58"/>
      <c r="I75" s="58"/>
      <c r="J75" s="57"/>
      <c r="K75" s="58"/>
      <c r="L75" s="58"/>
      <c r="M75" s="58"/>
      <c r="N75" s="58"/>
    </row>
    <row r="76" ht="17.4" customHeight="1">
      <c r="A76" s="57"/>
      <c r="B76" s="58"/>
      <c r="C76" s="58"/>
      <c r="D76" s="58"/>
      <c r="E76" s="58"/>
      <c r="F76" s="58"/>
      <c r="G76" s="58"/>
      <c r="H76" s="58"/>
      <c r="I76" s="58"/>
      <c r="J76" s="57"/>
      <c r="K76" s="58"/>
      <c r="L76" s="58"/>
      <c r="M76" s="58"/>
      <c r="N76" s="58"/>
    </row>
    <row r="77" ht="17.4" customHeight="1">
      <c r="A77" s="57"/>
      <c r="B77" s="58"/>
      <c r="C77" s="58"/>
      <c r="D77" s="58"/>
      <c r="E77" s="58"/>
      <c r="F77" s="58"/>
      <c r="G77" s="58"/>
      <c r="H77" s="58"/>
      <c r="I77" s="58"/>
      <c r="J77" s="57"/>
      <c r="K77" s="58"/>
      <c r="L77" s="58"/>
      <c r="M77" s="58"/>
      <c r="N77" s="58"/>
    </row>
    <row r="78" ht="17.4" customHeight="1">
      <c r="A78" s="57"/>
      <c r="B78" s="58"/>
      <c r="C78" s="58"/>
      <c r="D78" s="58"/>
      <c r="E78" s="58"/>
      <c r="F78" s="58"/>
      <c r="G78" s="58"/>
      <c r="H78" s="58"/>
      <c r="I78" s="58"/>
      <c r="J78" s="57"/>
      <c r="K78" s="58"/>
      <c r="L78" s="58"/>
      <c r="M78" s="58"/>
      <c r="N78" s="58"/>
    </row>
    <row r="79" ht="17.4" customHeight="1">
      <c r="A79" s="57"/>
      <c r="B79" s="58"/>
      <c r="C79" s="58"/>
      <c r="D79" s="58"/>
      <c r="E79" s="58"/>
      <c r="F79" s="58"/>
      <c r="G79" s="58"/>
      <c r="H79" s="58"/>
      <c r="I79" s="58"/>
      <c r="J79" s="57"/>
      <c r="K79" s="58"/>
      <c r="L79" s="58"/>
      <c r="M79" s="58"/>
      <c r="N79" s="58"/>
    </row>
    <row r="80" ht="17.4" customHeight="1">
      <c r="A80" s="57"/>
      <c r="B80" s="58"/>
      <c r="C80" s="58"/>
      <c r="D80" s="58"/>
      <c r="E80" s="58"/>
      <c r="F80" s="58"/>
      <c r="G80" s="58"/>
      <c r="H80" s="58"/>
      <c r="I80" s="58"/>
      <c r="J80" s="57"/>
      <c r="K80" s="58"/>
      <c r="L80" s="58"/>
      <c r="M80" s="58"/>
      <c r="N80" s="58"/>
    </row>
    <row r="81" ht="17.4" customHeight="1">
      <c r="A81" s="57"/>
      <c r="B81" s="58"/>
      <c r="C81" s="58"/>
      <c r="D81" s="58"/>
      <c r="E81" s="58"/>
      <c r="F81" s="58"/>
      <c r="G81" s="58"/>
      <c r="H81" s="58"/>
      <c r="I81" s="58"/>
      <c r="J81" s="57"/>
      <c r="K81" s="58"/>
      <c r="L81" s="58"/>
      <c r="M81" s="58"/>
      <c r="N81" s="58"/>
    </row>
    <row r="82" ht="17.4" customHeight="1">
      <c r="A82" s="57"/>
      <c r="B82" s="58"/>
      <c r="C82" s="58"/>
      <c r="D82" s="58"/>
      <c r="E82" s="58"/>
      <c r="F82" s="58"/>
      <c r="G82" s="58"/>
      <c r="H82" s="58"/>
      <c r="I82" s="58"/>
      <c r="J82" s="57"/>
      <c r="K82" s="58"/>
      <c r="L82" s="58"/>
      <c r="M82" s="58"/>
      <c r="N82" s="58"/>
    </row>
    <row r="83" ht="17.4" customHeight="1">
      <c r="A83" s="57"/>
      <c r="B83" s="58"/>
      <c r="C83" s="58"/>
      <c r="D83" s="58"/>
      <c r="E83" s="58"/>
      <c r="F83" s="58"/>
      <c r="G83" s="58"/>
      <c r="H83" s="58"/>
      <c r="I83" s="58"/>
      <c r="J83" s="57"/>
      <c r="K83" s="58"/>
      <c r="L83" s="58"/>
      <c r="M83" s="58"/>
      <c r="N83" s="58"/>
    </row>
    <row r="84" ht="17.4" customHeight="1">
      <c r="A84" s="57"/>
      <c r="B84" s="58"/>
      <c r="C84" s="58"/>
      <c r="D84" s="58"/>
      <c r="E84" s="58"/>
      <c r="F84" s="58"/>
      <c r="G84" s="58"/>
      <c r="H84" s="58"/>
      <c r="I84" s="58"/>
      <c r="J84" s="57"/>
      <c r="K84" s="58"/>
      <c r="L84" s="58"/>
      <c r="M84" s="58"/>
      <c r="N84" s="58"/>
    </row>
    <row r="85" ht="17.4" customHeight="1">
      <c r="A85" s="57"/>
      <c r="B85" s="58"/>
      <c r="C85" s="58"/>
      <c r="D85" s="58"/>
      <c r="E85" s="58"/>
      <c r="F85" s="58"/>
      <c r="G85" s="58"/>
      <c r="H85" s="58"/>
      <c r="I85" s="58"/>
      <c r="J85" s="57"/>
      <c r="K85" s="58"/>
      <c r="L85" s="58"/>
      <c r="M85" s="58"/>
      <c r="N85" s="58"/>
    </row>
    <row r="86" ht="17.4" customHeight="1">
      <c r="A86" s="57"/>
      <c r="B86" s="58"/>
      <c r="C86" s="58"/>
      <c r="D86" s="58"/>
      <c r="E86" s="58"/>
      <c r="F86" s="58"/>
      <c r="G86" s="58"/>
      <c r="H86" s="58"/>
      <c r="I86" s="58"/>
      <c r="J86" s="57"/>
      <c r="K86" s="58"/>
      <c r="L86" s="58"/>
      <c r="M86" s="58"/>
      <c r="N86" s="58"/>
    </row>
    <row r="87" ht="17.4" customHeight="1">
      <c r="A87" s="57"/>
      <c r="B87" s="58"/>
      <c r="C87" s="58"/>
      <c r="D87" s="58"/>
      <c r="E87" s="58"/>
      <c r="F87" s="58"/>
      <c r="G87" s="58"/>
      <c r="H87" s="58"/>
      <c r="I87" s="58"/>
      <c r="J87" s="57"/>
      <c r="K87" s="58"/>
      <c r="L87" s="58"/>
      <c r="M87" s="58"/>
      <c r="N87" s="58"/>
    </row>
    <row r="88" ht="17.4" customHeight="1">
      <c r="A88" s="57"/>
      <c r="B88" s="58"/>
      <c r="C88" s="58"/>
      <c r="D88" s="58"/>
      <c r="E88" s="58"/>
      <c r="F88" s="58"/>
      <c r="G88" s="58"/>
      <c r="H88" s="58"/>
      <c r="I88" s="58"/>
      <c r="J88" s="57"/>
      <c r="K88" s="58"/>
      <c r="L88" s="58"/>
      <c r="M88" s="58"/>
      <c r="N88" s="58"/>
    </row>
    <row r="89" ht="17.4" customHeight="1">
      <c r="A89" s="57"/>
      <c r="B89" s="58"/>
      <c r="C89" s="58"/>
      <c r="D89" s="58"/>
      <c r="E89" s="58"/>
      <c r="F89" s="58"/>
      <c r="G89" s="58"/>
      <c r="H89" s="58"/>
      <c r="I89" s="58"/>
      <c r="J89" s="57"/>
      <c r="K89" s="58"/>
      <c r="L89" s="58"/>
      <c r="M89" s="58"/>
      <c r="N89" s="58"/>
    </row>
    <row r="90" ht="17.4" customHeight="1">
      <c r="A90" s="57"/>
      <c r="B90" s="58"/>
      <c r="C90" s="58"/>
      <c r="D90" s="58"/>
      <c r="E90" s="58"/>
      <c r="F90" s="58"/>
      <c r="G90" s="58"/>
      <c r="H90" s="58"/>
      <c r="I90" s="58"/>
      <c r="J90" s="57"/>
      <c r="K90" s="58"/>
      <c r="L90" s="58"/>
      <c r="M90" s="58"/>
      <c r="N90" s="58"/>
    </row>
    <row r="91" ht="17.4" customHeight="1">
      <c r="A91" s="57"/>
      <c r="B91" s="58"/>
      <c r="C91" s="58"/>
      <c r="D91" s="58"/>
      <c r="E91" s="58"/>
      <c r="F91" s="58"/>
      <c r="G91" s="58"/>
      <c r="H91" s="58"/>
      <c r="I91" s="58"/>
      <c r="J91" s="57"/>
      <c r="K91" s="58"/>
      <c r="L91" s="58"/>
      <c r="M91" s="58"/>
      <c r="N91" s="58"/>
    </row>
    <row r="92" ht="17.4" customHeight="1">
      <c r="A92" s="57"/>
      <c r="B92" s="58"/>
      <c r="C92" s="58"/>
      <c r="D92" s="58"/>
      <c r="E92" s="58"/>
      <c r="F92" s="58"/>
      <c r="G92" s="58"/>
      <c r="H92" s="58"/>
      <c r="I92" s="58"/>
      <c r="J92" s="57"/>
      <c r="K92" s="58"/>
      <c r="L92" s="58"/>
      <c r="M92" s="58"/>
      <c r="N92" s="58"/>
    </row>
    <row r="93" ht="17.4" customHeight="1">
      <c r="A93" s="57"/>
      <c r="B93" s="58"/>
      <c r="C93" s="58"/>
      <c r="D93" s="58"/>
      <c r="E93" s="58"/>
      <c r="F93" s="58"/>
      <c r="G93" s="58"/>
      <c r="H93" s="58"/>
      <c r="I93" s="58"/>
      <c r="J93" s="57"/>
      <c r="K93" s="58"/>
      <c r="L93" s="58"/>
      <c r="M93" s="58"/>
      <c r="N93" s="58"/>
    </row>
    <row r="94" ht="17.4" customHeight="1">
      <c r="A94" s="57"/>
      <c r="B94" s="58"/>
      <c r="C94" s="58"/>
      <c r="D94" s="58"/>
      <c r="E94" s="58"/>
      <c r="F94" s="58"/>
      <c r="G94" s="58"/>
      <c r="H94" s="58"/>
      <c r="I94" s="58"/>
      <c r="J94" s="57"/>
      <c r="K94" s="58"/>
      <c r="L94" s="58"/>
      <c r="M94" s="58"/>
      <c r="N94" s="58"/>
    </row>
    <row r="95" ht="17.4" customHeight="1">
      <c r="A95" s="57"/>
      <c r="B95" s="58"/>
      <c r="C95" s="58"/>
      <c r="D95" s="58"/>
      <c r="E95" s="58"/>
      <c r="F95" s="58"/>
      <c r="G95" s="58"/>
      <c r="H95" s="58"/>
      <c r="I95" s="58"/>
      <c r="J95" s="57"/>
      <c r="K95" s="58"/>
      <c r="L95" s="58"/>
      <c r="M95" s="58"/>
      <c r="N95" s="58"/>
    </row>
    <row r="96" ht="17.4" customHeight="1">
      <c r="A96" s="57"/>
      <c r="B96" s="58"/>
      <c r="C96" s="58"/>
      <c r="D96" s="58"/>
      <c r="E96" s="58"/>
      <c r="F96" s="58"/>
      <c r="G96" s="58"/>
      <c r="H96" s="58"/>
      <c r="I96" s="58"/>
      <c r="J96" s="57"/>
      <c r="K96" s="58"/>
      <c r="L96" s="58"/>
      <c r="M96" s="58"/>
      <c r="N96" s="58"/>
    </row>
    <row r="97" ht="17.4" customHeight="1">
      <c r="A97" s="57"/>
      <c r="B97" s="58"/>
      <c r="C97" s="58"/>
      <c r="D97" s="58"/>
      <c r="E97" s="58"/>
      <c r="F97" s="58"/>
      <c r="G97" s="58"/>
      <c r="H97" s="58"/>
      <c r="I97" s="58"/>
      <c r="J97" s="57"/>
      <c r="K97" s="58"/>
      <c r="L97" s="58"/>
      <c r="M97" s="58"/>
      <c r="N97" s="58"/>
    </row>
    <row r="98" ht="17.4" customHeight="1">
      <c r="A98" s="57"/>
      <c r="B98" s="58"/>
      <c r="C98" s="58"/>
      <c r="D98" s="58"/>
      <c r="E98" s="58"/>
      <c r="F98" s="58"/>
      <c r="G98" s="58"/>
      <c r="H98" s="58"/>
      <c r="I98" s="58"/>
      <c r="J98" s="57"/>
      <c r="K98" s="58"/>
      <c r="L98" s="58"/>
      <c r="M98" s="58"/>
      <c r="N98" s="58"/>
    </row>
    <row r="99" ht="17.4" customHeight="1">
      <c r="A99" s="57"/>
      <c r="B99" s="58"/>
      <c r="C99" s="58"/>
      <c r="D99" s="58"/>
      <c r="E99" s="58"/>
      <c r="F99" s="58"/>
      <c r="G99" s="58"/>
      <c r="H99" s="58"/>
      <c r="I99" s="58"/>
      <c r="J99" s="57"/>
      <c r="K99" s="58"/>
      <c r="L99" s="58"/>
      <c r="M99" s="58"/>
      <c r="N99" s="58"/>
    </row>
    <row r="100" ht="17.4" customHeight="1">
      <c r="A100" s="57"/>
      <c r="B100" s="58"/>
      <c r="C100" s="58"/>
      <c r="D100" s="58"/>
      <c r="E100" s="58"/>
      <c r="F100" s="58"/>
      <c r="G100" s="58"/>
      <c r="H100" s="58"/>
      <c r="I100" s="58"/>
      <c r="J100" s="57"/>
      <c r="K100" s="58"/>
      <c r="L100" s="58"/>
      <c r="M100" s="58"/>
      <c r="N100" s="58"/>
    </row>
    <row r="101" ht="17.4" customHeight="1">
      <c r="A101" s="57"/>
      <c r="B101" s="58"/>
      <c r="C101" s="58"/>
      <c r="D101" s="58"/>
      <c r="E101" s="58"/>
      <c r="F101" s="58"/>
      <c r="G101" s="58"/>
      <c r="H101" s="58"/>
      <c r="I101" s="58"/>
      <c r="J101" s="57"/>
      <c r="K101" s="58"/>
      <c r="L101" s="58"/>
      <c r="M101" s="58"/>
      <c r="N101" s="58"/>
    </row>
    <row r="102" ht="17.4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7"/>
      <c r="K102" s="58"/>
      <c r="L102" s="58"/>
      <c r="M102" s="58"/>
      <c r="N102" s="58"/>
    </row>
    <row r="103" ht="17.4" customHeight="1">
      <c r="A103" s="57"/>
      <c r="B103" s="58"/>
      <c r="C103" s="58"/>
      <c r="D103" s="58"/>
      <c r="E103" s="58"/>
      <c r="F103" s="58"/>
      <c r="G103" s="58"/>
      <c r="H103" s="58"/>
      <c r="I103" s="58"/>
      <c r="J103" s="57"/>
      <c r="K103" s="58"/>
      <c r="L103" s="58"/>
      <c r="M103" s="58"/>
      <c r="N103" s="58"/>
    </row>
    <row r="104" ht="17.4" customHeight="1">
      <c r="A104" s="57"/>
      <c r="B104" s="58"/>
      <c r="C104" s="58"/>
      <c r="D104" s="58"/>
      <c r="E104" s="58"/>
      <c r="F104" s="58"/>
      <c r="G104" s="58"/>
      <c r="H104" s="58"/>
      <c r="I104" s="58"/>
      <c r="J104" s="57"/>
      <c r="K104" s="58"/>
      <c r="L104" s="58"/>
      <c r="M104" s="58"/>
      <c r="N104" s="58"/>
    </row>
    <row r="105" ht="17.4" customHeight="1">
      <c r="A105" s="57"/>
      <c r="B105" s="58"/>
      <c r="C105" s="58"/>
      <c r="D105" s="58"/>
      <c r="E105" s="58"/>
      <c r="F105" s="58"/>
      <c r="G105" s="58"/>
      <c r="H105" s="58"/>
      <c r="I105" s="58"/>
      <c r="J105" s="57"/>
      <c r="K105" s="58"/>
      <c r="L105" s="58"/>
      <c r="M105" s="58"/>
      <c r="N105" s="58"/>
    </row>
    <row r="106" ht="17.4" customHeight="1">
      <c r="A106" s="57"/>
      <c r="B106" s="58"/>
      <c r="C106" s="58"/>
      <c r="D106" s="58"/>
      <c r="E106" s="58"/>
      <c r="F106" s="58"/>
      <c r="G106" s="58"/>
      <c r="H106" s="58"/>
      <c r="I106" s="58"/>
      <c r="J106" s="57"/>
      <c r="K106" s="58"/>
      <c r="L106" s="58"/>
      <c r="M106" s="58"/>
      <c r="N106" s="58"/>
    </row>
    <row r="107" ht="17.4" customHeight="1">
      <c r="A107" s="57"/>
      <c r="B107" s="58"/>
      <c r="C107" s="58"/>
      <c r="D107" s="58"/>
      <c r="E107" s="58"/>
      <c r="F107" s="58"/>
      <c r="G107" s="58"/>
      <c r="H107" s="58"/>
      <c r="I107" s="58"/>
      <c r="J107" s="57"/>
      <c r="K107" s="58"/>
      <c r="L107" s="58"/>
      <c r="M107" s="58"/>
      <c r="N107" s="58"/>
    </row>
    <row r="108" ht="17.4" customHeight="1">
      <c r="A108" s="57"/>
      <c r="B108" s="58"/>
      <c r="C108" s="58"/>
      <c r="D108" s="58"/>
      <c r="E108" s="58"/>
      <c r="F108" s="58"/>
      <c r="G108" s="58"/>
      <c r="H108" s="58"/>
      <c r="I108" s="58"/>
      <c r="J108" s="57"/>
      <c r="K108" s="58"/>
      <c r="L108" s="58"/>
      <c r="M108" s="58"/>
      <c r="N108" s="58"/>
    </row>
    <row r="109" ht="17.4" customHeight="1">
      <c r="A109" s="57"/>
      <c r="B109" s="58"/>
      <c r="C109" s="58"/>
      <c r="D109" s="58"/>
      <c r="E109" s="58"/>
      <c r="F109" s="58"/>
      <c r="G109" s="58"/>
      <c r="H109" s="58"/>
      <c r="I109" s="58"/>
      <c r="J109" s="57"/>
      <c r="K109" s="58"/>
      <c r="L109" s="58"/>
      <c r="M109" s="58"/>
      <c r="N109" s="58"/>
    </row>
    <row r="110" ht="17.4" customHeight="1">
      <c r="A110" s="57"/>
      <c r="B110" s="58"/>
      <c r="C110" s="58"/>
      <c r="D110" s="58"/>
      <c r="E110" s="58"/>
      <c r="F110" s="58"/>
      <c r="G110" s="58"/>
      <c r="H110" s="58"/>
      <c r="I110" s="58"/>
      <c r="J110" s="57"/>
      <c r="K110" s="58"/>
      <c r="L110" s="58"/>
      <c r="M110" s="58"/>
      <c r="N110" s="58"/>
    </row>
    <row r="111" ht="17.4" customHeight="1">
      <c r="A111" s="57"/>
      <c r="B111" s="58"/>
      <c r="C111" s="58"/>
      <c r="D111" s="58"/>
      <c r="E111" s="58"/>
      <c r="F111" s="58"/>
      <c r="G111" s="58"/>
      <c r="H111" s="58"/>
      <c r="I111" s="58"/>
      <c r="J111" s="57"/>
      <c r="K111" s="58"/>
      <c r="L111" s="58"/>
      <c r="M111" s="58"/>
      <c r="N111" s="58"/>
    </row>
    <row r="112" ht="17.4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7"/>
      <c r="K112" s="58"/>
      <c r="L112" s="58"/>
      <c r="M112" s="58"/>
      <c r="N112" s="58"/>
    </row>
    <row r="113" ht="17.4" customHeight="1">
      <c r="A113" s="57"/>
      <c r="B113" s="58"/>
      <c r="C113" s="58"/>
      <c r="D113" s="58"/>
      <c r="E113" s="58"/>
      <c r="F113" s="58"/>
      <c r="G113" s="58"/>
      <c r="H113" s="58"/>
      <c r="I113" s="58"/>
      <c r="J113" s="57"/>
      <c r="K113" s="58"/>
      <c r="L113" s="58"/>
      <c r="M113" s="58"/>
      <c r="N113" s="58"/>
    </row>
    <row r="114" ht="17.4" customHeight="1">
      <c r="A114" s="57"/>
      <c r="B114" s="58"/>
      <c r="C114" s="58"/>
      <c r="D114" s="58"/>
      <c r="E114" s="58"/>
      <c r="F114" s="58"/>
      <c r="G114" s="58"/>
      <c r="H114" s="58"/>
      <c r="I114" s="58"/>
      <c r="J114" s="57"/>
      <c r="K114" s="58"/>
      <c r="L114" s="58"/>
      <c r="M114" s="58"/>
      <c r="N114" s="58"/>
    </row>
    <row r="115" ht="17.4" customHeight="1">
      <c r="A115" s="57"/>
      <c r="B115" s="58"/>
      <c r="C115" s="58"/>
      <c r="D115" s="58"/>
      <c r="E115" s="58"/>
      <c r="F115" s="58"/>
      <c r="G115" s="58"/>
      <c r="H115" s="58"/>
      <c r="I115" s="58"/>
      <c r="J115" s="57"/>
      <c r="K115" s="58"/>
      <c r="L115" s="58"/>
      <c r="M115" s="58"/>
      <c r="N115" s="58"/>
    </row>
    <row r="116" ht="17.4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7"/>
      <c r="K116" s="58"/>
      <c r="L116" s="58"/>
      <c r="M116" s="58"/>
      <c r="N116" s="58"/>
    </row>
    <row r="117" ht="17.4" customHeight="1">
      <c r="A117" s="57"/>
      <c r="B117" s="58"/>
      <c r="C117" s="58"/>
      <c r="D117" s="58"/>
      <c r="E117" s="58"/>
      <c r="F117" s="58"/>
      <c r="G117" s="58"/>
      <c r="H117" s="58"/>
      <c r="I117" s="58"/>
      <c r="J117" s="57"/>
      <c r="K117" s="58"/>
      <c r="L117" s="58"/>
      <c r="M117" s="58"/>
      <c r="N117" s="58"/>
    </row>
    <row r="118" ht="17.4" customHeight="1">
      <c r="A118" s="57"/>
      <c r="B118" s="58"/>
      <c r="C118" s="58"/>
      <c r="D118" s="58"/>
      <c r="E118" s="58"/>
      <c r="F118" s="58"/>
      <c r="G118" s="58"/>
      <c r="H118" s="58"/>
      <c r="I118" s="58"/>
      <c r="J118" s="57"/>
      <c r="K118" s="58"/>
      <c r="L118" s="58"/>
      <c r="M118" s="58"/>
      <c r="N118" s="58"/>
    </row>
    <row r="119" ht="17.4" customHeight="1">
      <c r="A119" s="57"/>
      <c r="B119" s="58"/>
      <c r="C119" s="58"/>
      <c r="D119" s="58"/>
      <c r="E119" s="58"/>
      <c r="F119" s="58"/>
      <c r="G119" s="58"/>
      <c r="H119" s="58"/>
      <c r="I119" s="58"/>
      <c r="J119" s="57"/>
      <c r="K119" s="58"/>
      <c r="L119" s="58"/>
      <c r="M119" s="58"/>
      <c r="N119" s="58"/>
    </row>
    <row r="120" ht="17.4" customHeight="1">
      <c r="A120" s="57"/>
      <c r="B120" s="58"/>
      <c r="C120" s="58"/>
      <c r="D120" s="58"/>
      <c r="E120" s="58"/>
      <c r="F120" s="58"/>
      <c r="G120" s="58"/>
      <c r="H120" s="58"/>
      <c r="I120" s="58"/>
      <c r="J120" s="57"/>
      <c r="K120" s="58"/>
      <c r="L120" s="58"/>
      <c r="M120" s="58"/>
      <c r="N120" s="58"/>
    </row>
    <row r="121" ht="17.4" customHeight="1">
      <c r="A121" s="57"/>
      <c r="B121" s="58"/>
      <c r="C121" s="58"/>
      <c r="D121" s="58"/>
      <c r="E121" s="58"/>
      <c r="F121" s="58"/>
      <c r="G121" s="58"/>
      <c r="H121" s="58"/>
      <c r="I121" s="58"/>
      <c r="J121" s="57"/>
      <c r="K121" s="58"/>
      <c r="L121" s="58"/>
      <c r="M121" s="58"/>
      <c r="N121" s="58"/>
    </row>
    <row r="122" ht="17.4" customHeight="1">
      <c r="A122" s="57"/>
      <c r="B122" s="58"/>
      <c r="C122" s="58"/>
      <c r="D122" s="58"/>
      <c r="E122" s="58"/>
      <c r="F122" s="58"/>
      <c r="G122" s="58"/>
      <c r="H122" s="58"/>
      <c r="I122" s="58"/>
      <c r="J122" s="57"/>
      <c r="K122" s="58"/>
      <c r="L122" s="58"/>
      <c r="M122" s="58"/>
      <c r="N122" s="58"/>
    </row>
    <row r="123" ht="19.8" customHeight="1">
      <c r="A123" s="57"/>
      <c r="B123" s="58"/>
      <c r="C123" s="58"/>
      <c r="D123" s="58"/>
      <c r="E123" s="149"/>
      <c r="F123" s="58"/>
      <c r="G123" s="58"/>
      <c r="H123" s="58"/>
      <c r="I123" s="58"/>
      <c r="J123" s="57"/>
      <c r="K123" s="58"/>
      <c r="L123" s="58"/>
      <c r="M123" s="58"/>
      <c r="N123" s="58"/>
    </row>
  </sheetData>
  <mergeCells count="3">
    <mergeCell ref="A9:A12"/>
    <mergeCell ref="A13:A16"/>
    <mergeCell ref="A17:A20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K20"/>
  <sheetViews>
    <sheetView workbookViewId="0" showGridLines="0" defaultGridColor="1"/>
  </sheetViews>
  <sheetFormatPr defaultColWidth="17.5" defaultRowHeight="14.4" customHeight="1" outlineLevelRow="0" outlineLevelCol="0"/>
  <cols>
    <col min="1" max="1" width="8.5" style="155" customWidth="1"/>
    <col min="2" max="2" width="17.5" style="155" customWidth="1"/>
    <col min="3" max="3" width="28.8516" style="155" customWidth="1"/>
    <col min="4" max="4" width="30.3516" style="155" customWidth="1"/>
    <col min="5" max="5" width="6.35156" style="155" customWidth="1"/>
    <col min="6" max="6" width="6.67188" style="155" customWidth="1"/>
    <col min="7" max="7" width="5.67188" style="155" customWidth="1"/>
    <col min="8" max="8" width="6.17188" style="155" customWidth="1"/>
    <col min="9" max="9" width="5.67188" style="155" customWidth="1"/>
    <col min="10" max="10" width="30.5" style="155" customWidth="1"/>
    <col min="11" max="11" width="17.5" style="155" customWidth="1"/>
    <col min="12" max="16384" width="17.5" style="155" customWidth="1"/>
  </cols>
  <sheetData>
    <row r="1" ht="17.4" customHeight="1">
      <c r="A1" s="31"/>
      <c r="B1" s="32"/>
      <c r="C1" s="32"/>
      <c r="D1" s="32"/>
      <c r="E1" t="s" s="33">
        <v>29</v>
      </c>
      <c r="F1" s="34"/>
      <c r="G1" s="34"/>
      <c r="H1" s="34"/>
      <c r="I1" s="34"/>
      <c r="J1" s="32"/>
      <c r="K1" s="35"/>
    </row>
    <row r="2" ht="17.4" customHeight="1">
      <c r="A2" s="36"/>
      <c r="B2" s="37"/>
      <c r="C2" t="s" s="38">
        <v>2</v>
      </c>
      <c r="D2" t="s" s="39">
        <v>30</v>
      </c>
      <c r="E2" s="40">
        <v>1</v>
      </c>
      <c r="F2" s="40">
        <v>2</v>
      </c>
      <c r="G2" s="40">
        <v>3</v>
      </c>
      <c r="H2" s="40">
        <v>4</v>
      </c>
      <c r="I2" s="40">
        <v>5</v>
      </c>
      <c r="J2" t="s" s="41">
        <v>31</v>
      </c>
      <c r="K2" t="s" s="42">
        <v>32</v>
      </c>
    </row>
    <row r="3" ht="17.4" customHeight="1">
      <c r="A3" t="s" s="43">
        <v>33</v>
      </c>
      <c r="B3" t="s" s="39">
        <v>34</v>
      </c>
      <c r="C3" t="s" s="25">
        <v>24</v>
      </c>
      <c r="D3" t="s" s="44">
        <v>26</v>
      </c>
      <c r="E3" s="32"/>
      <c r="F3" s="45"/>
      <c r="G3" s="32"/>
      <c r="H3" s="45"/>
      <c r="I3" s="32"/>
      <c r="J3" s="46">
        <v>6</v>
      </c>
      <c r="K3" s="47" cm="1">
        <f t="array" ref="K3">J3/J$15</f>
        <v>0.07228915662650599</v>
      </c>
    </row>
    <row r="4" ht="17.4" customHeight="1">
      <c r="A4" s="48"/>
      <c r="B4" t="s" s="39">
        <v>35</v>
      </c>
      <c r="C4" s="49"/>
      <c r="D4" s="50"/>
      <c r="E4" s="32"/>
      <c r="F4" s="45"/>
      <c r="G4" s="32"/>
      <c r="H4" s="45"/>
      <c r="I4" s="32"/>
      <c r="J4" s="46">
        <v>9</v>
      </c>
      <c r="K4" s="47" cm="1">
        <f t="array" ref="K4">J4/J$15</f>
        <v>0.108433734939759</v>
      </c>
    </row>
    <row r="5" ht="17.4" customHeight="1">
      <c r="A5" s="48"/>
      <c r="B5" t="s" s="39">
        <v>36</v>
      </c>
      <c r="C5" s="49"/>
      <c r="D5" s="50"/>
      <c r="E5" s="32"/>
      <c r="F5" s="45"/>
      <c r="G5" s="32"/>
      <c r="H5" s="45"/>
      <c r="I5" s="32"/>
      <c r="J5" s="46">
        <v>7</v>
      </c>
      <c r="K5" s="47" cm="1">
        <f t="array" ref="K5">J5/J$15</f>
        <v>0.0843373493975904</v>
      </c>
    </row>
    <row r="6" ht="17.4" customHeight="1">
      <c r="A6" s="48"/>
      <c r="B6" t="s" s="33">
        <v>37</v>
      </c>
      <c r="C6" s="49"/>
      <c r="D6" s="50"/>
      <c r="E6" s="32"/>
      <c r="F6" s="45"/>
      <c r="G6" s="32"/>
      <c r="H6" s="45"/>
      <c r="I6" s="32"/>
      <c r="J6" s="46">
        <v>4</v>
      </c>
      <c r="K6" s="47" cm="1">
        <f t="array" ref="K6">J6/J$15</f>
        <v>0.0481927710843373</v>
      </c>
    </row>
    <row r="7" ht="17.4" customHeight="1">
      <c r="A7" t="s" s="43">
        <v>38</v>
      </c>
      <c r="B7" t="s" s="39">
        <v>34</v>
      </c>
      <c r="C7" s="49"/>
      <c r="D7" s="50"/>
      <c r="E7" s="32"/>
      <c r="F7" s="32"/>
      <c r="G7" s="32"/>
      <c r="H7" s="45"/>
      <c r="I7" s="32"/>
      <c r="J7" s="46">
        <v>7</v>
      </c>
      <c r="K7" s="47" cm="1">
        <f t="array" ref="K7">J7/J$15</f>
        <v>0.0843373493975904</v>
      </c>
    </row>
    <row r="8" ht="17.4" customHeight="1">
      <c r="A8" s="48"/>
      <c r="B8" t="s" s="39">
        <v>35</v>
      </c>
      <c r="C8" s="49"/>
      <c r="D8" s="50"/>
      <c r="E8" s="32"/>
      <c r="F8" s="32"/>
      <c r="G8" s="32"/>
      <c r="H8" s="45"/>
      <c r="I8" s="32"/>
      <c r="J8" s="46">
        <v>5</v>
      </c>
      <c r="K8" s="47" cm="1">
        <f t="array" ref="K8">J8/J$15</f>
        <v>0.0602409638554217</v>
      </c>
    </row>
    <row r="9" ht="17.4" customHeight="1">
      <c r="A9" s="48"/>
      <c r="B9" t="s" s="39">
        <v>36</v>
      </c>
      <c r="C9" s="49"/>
      <c r="D9" s="50"/>
      <c r="E9" s="32"/>
      <c r="F9" s="32"/>
      <c r="G9" s="32"/>
      <c r="H9" s="45"/>
      <c r="I9" s="32"/>
      <c r="J9" s="46">
        <v>12</v>
      </c>
      <c r="K9" s="47" cm="1">
        <f t="array" ref="K9">J9/J$15</f>
        <v>0.144578313253012</v>
      </c>
    </row>
    <row r="10" ht="17.4" customHeight="1">
      <c r="A10" s="48"/>
      <c r="B10" t="s" s="33">
        <v>37</v>
      </c>
      <c r="C10" s="49"/>
      <c r="D10" s="50"/>
      <c r="E10" s="32"/>
      <c r="F10" s="32"/>
      <c r="G10" s="32"/>
      <c r="H10" s="45"/>
      <c r="I10" s="32"/>
      <c r="J10" s="46">
        <v>10</v>
      </c>
      <c r="K10" s="47" cm="1">
        <f t="array" ref="K10">J10/J$15</f>
        <v>0.120481927710843</v>
      </c>
    </row>
    <row r="11" ht="17.4" customHeight="1">
      <c r="A11" t="s" s="43">
        <v>39</v>
      </c>
      <c r="B11" t="s" s="39">
        <v>34</v>
      </c>
      <c r="C11" s="49"/>
      <c r="D11" s="50"/>
      <c r="E11" s="32"/>
      <c r="F11" s="32"/>
      <c r="G11" s="32"/>
      <c r="H11" s="45"/>
      <c r="I11" s="45"/>
      <c r="J11" s="46">
        <v>9</v>
      </c>
      <c r="K11" s="47" cm="1">
        <f t="array" ref="K11">J11/J$15</f>
        <v>0.108433734939759</v>
      </c>
    </row>
    <row r="12" ht="17.4" customHeight="1">
      <c r="A12" s="48"/>
      <c r="B12" t="s" s="39">
        <v>35</v>
      </c>
      <c r="C12" s="49"/>
      <c r="D12" s="50"/>
      <c r="E12" s="32"/>
      <c r="F12" s="32"/>
      <c r="G12" s="32"/>
      <c r="H12" s="45"/>
      <c r="I12" s="45"/>
      <c r="J12" s="46">
        <v>7</v>
      </c>
      <c r="K12" s="47" cm="1">
        <f t="array" ref="K12">J12/J$15</f>
        <v>0.0843373493975904</v>
      </c>
    </row>
    <row r="13" ht="17.4" customHeight="1">
      <c r="A13" s="48"/>
      <c r="B13" t="s" s="39">
        <v>36</v>
      </c>
      <c r="C13" s="49"/>
      <c r="D13" s="50"/>
      <c r="E13" s="32"/>
      <c r="F13" s="32"/>
      <c r="G13" s="32"/>
      <c r="H13" s="45"/>
      <c r="I13" s="45"/>
      <c r="J13" s="46">
        <v>3</v>
      </c>
      <c r="K13" s="47" cm="1">
        <f t="array" ref="K13">J13/J$15</f>
        <v>0.036144578313253</v>
      </c>
    </row>
    <row r="14" ht="17.4" customHeight="1">
      <c r="A14" s="48"/>
      <c r="B14" t="s" s="33">
        <v>37</v>
      </c>
      <c r="C14" s="49"/>
      <c r="D14" s="50"/>
      <c r="E14" s="32"/>
      <c r="F14" s="32"/>
      <c r="G14" s="32"/>
      <c r="H14" s="45"/>
      <c r="I14" s="45"/>
      <c r="J14" s="46">
        <v>4</v>
      </c>
      <c r="K14" s="47" cm="1">
        <f t="array" ref="K14">J14/J$15</f>
        <v>0.0481927710843373</v>
      </c>
    </row>
    <row r="15" ht="14.4" customHeight="1">
      <c r="A15" s="51"/>
      <c r="B15" s="51"/>
      <c r="C15" s="52"/>
      <c r="D15" s="52"/>
      <c r="E15" s="51"/>
      <c r="F15" s="51"/>
      <c r="G15" s="51"/>
      <c r="H15" s="51"/>
      <c r="I15" s="53"/>
      <c r="J15" s="151" cm="1">
        <f t="array" ref="J15">SUM(J3:J14)</f>
        <v>83</v>
      </c>
      <c r="K15" s="55" cm="1">
        <f t="array" ref="K15">AVEDEV(K3:K14)</f>
        <v>0.0252677376171352</v>
      </c>
    </row>
    <row r="16" ht="14.4" customHeight="1">
      <c r="A16" s="58"/>
      <c r="B16" s="58"/>
      <c r="C16" s="58"/>
      <c r="D16" s="58"/>
      <c r="E16" s="58"/>
      <c r="F16" s="58"/>
      <c r="G16" s="58"/>
      <c r="H16" s="58"/>
      <c r="I16" s="58"/>
      <c r="J16" s="52"/>
      <c r="K16" s="58"/>
    </row>
    <row r="17" ht="14.4" customHeigh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</row>
    <row r="18" ht="14.4" customHeigh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</row>
    <row r="19" ht="14.4" customHeight="1">
      <c r="A19" s="58"/>
      <c r="B19" s="58"/>
      <c r="C19" s="58"/>
      <c r="D19" s="60"/>
      <c r="E19" s="58"/>
      <c r="F19" s="58"/>
      <c r="G19" s="58"/>
      <c r="H19" s="58"/>
      <c r="I19" s="58"/>
      <c r="J19" s="58"/>
      <c r="K19" s="58"/>
    </row>
    <row r="20" ht="17.4" customHeight="1">
      <c r="A20" s="58"/>
      <c r="B20" s="58"/>
      <c r="C20" s="31"/>
      <c r="D20" s="63"/>
      <c r="E20" s="74"/>
      <c r="F20" s="58"/>
      <c r="G20" s="58"/>
      <c r="H20" s="58"/>
      <c r="I20" s="58"/>
      <c r="J20" s="58"/>
      <c r="K20" s="58"/>
    </row>
  </sheetData>
  <mergeCells count="6">
    <mergeCell ref="E1:I1"/>
    <mergeCell ref="A3:A6"/>
    <mergeCell ref="C3:C14"/>
    <mergeCell ref="D3:D14"/>
    <mergeCell ref="A7:A10"/>
    <mergeCell ref="A11:A1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N123"/>
  <sheetViews>
    <sheetView workbookViewId="0" showGridLines="0" defaultGridColor="1"/>
  </sheetViews>
  <sheetFormatPr defaultColWidth="8.66667" defaultRowHeight="17.4" customHeight="1" outlineLevelRow="0" outlineLevelCol="0"/>
  <cols>
    <col min="1" max="1" width="12.6719" style="156" customWidth="1"/>
    <col min="2" max="2" width="32.6719" style="156" customWidth="1"/>
    <col min="3" max="3" width="22.1719" style="156" customWidth="1"/>
    <col min="4" max="4" width="12" style="156" customWidth="1"/>
    <col min="5" max="5" width="22.6719" style="156" customWidth="1"/>
    <col min="6" max="6" width="11.5" style="156" customWidth="1"/>
    <col min="7" max="7" width="19.5" style="156" customWidth="1"/>
    <col min="8" max="8" width="21.5" style="156" customWidth="1"/>
    <col min="9" max="9" width="29.5" style="156" customWidth="1"/>
    <col min="10" max="10" width="25.1719" style="156" customWidth="1"/>
    <col min="11" max="11" width="15.6719" style="156" customWidth="1"/>
    <col min="12" max="12" width="17.5" style="156" customWidth="1"/>
    <col min="13" max="13" width="24.5" style="156" customWidth="1"/>
    <col min="14" max="14" width="23.1719" style="156" customWidth="1"/>
    <col min="15" max="16384" width="8.67188" style="156" customWidth="1"/>
  </cols>
  <sheetData>
    <row r="1" ht="26.4" customHeight="1">
      <c r="A1" s="57"/>
      <c r="B1" s="58"/>
      <c r="C1" s="59"/>
      <c r="D1" s="58"/>
      <c r="E1" s="58"/>
      <c r="F1" s="58"/>
      <c r="G1" s="58"/>
      <c r="H1" s="58"/>
      <c r="I1" s="58"/>
      <c r="J1" s="57"/>
      <c r="K1" s="58"/>
      <c r="L1" s="58"/>
      <c r="M1" s="58"/>
      <c r="N1" s="58"/>
    </row>
    <row r="2" ht="17.4" customHeight="1">
      <c r="A2" s="57"/>
      <c r="B2" s="58"/>
      <c r="C2" s="58"/>
      <c r="D2" s="58"/>
      <c r="E2" s="58"/>
      <c r="F2" s="58"/>
      <c r="G2" s="58"/>
      <c r="H2" s="58"/>
      <c r="I2" s="58"/>
      <c r="J2" s="57"/>
      <c r="K2" s="58"/>
      <c r="L2" s="58"/>
      <c r="M2" s="58"/>
      <c r="N2" s="58"/>
    </row>
    <row r="3" ht="17.4" customHeight="1">
      <c r="A3" s="57"/>
      <c r="B3" s="58"/>
      <c r="C3" s="58"/>
      <c r="D3" s="58"/>
      <c r="E3" s="58"/>
      <c r="F3" s="58"/>
      <c r="G3" s="58"/>
      <c r="H3" s="58"/>
      <c r="I3" s="58"/>
      <c r="J3" s="57"/>
      <c r="K3" s="58"/>
      <c r="L3" s="58"/>
      <c r="M3" s="58"/>
      <c r="N3" s="58"/>
    </row>
    <row r="4" ht="17.4" customHeight="1">
      <c r="A4" s="57"/>
      <c r="B4" s="58"/>
      <c r="C4" s="58"/>
      <c r="D4" s="58"/>
      <c r="E4" s="58"/>
      <c r="F4" s="58"/>
      <c r="G4" s="58"/>
      <c r="H4" s="58"/>
      <c r="I4" s="58"/>
      <c r="J4" s="57"/>
      <c r="K4" s="58"/>
      <c r="L4" s="58"/>
      <c r="M4" s="58"/>
      <c r="N4" s="58"/>
    </row>
    <row r="5" ht="17.4" customHeight="1">
      <c r="A5" s="57"/>
      <c r="B5" s="58"/>
      <c r="C5" s="58"/>
      <c r="D5" s="58"/>
      <c r="E5" s="58"/>
      <c r="F5" s="60"/>
      <c r="G5" s="61"/>
      <c r="H5" s="61"/>
      <c r="I5" s="58"/>
      <c r="J5" s="57"/>
      <c r="K5" s="58"/>
      <c r="L5" s="58"/>
      <c r="M5" s="58"/>
      <c r="N5" s="58"/>
    </row>
    <row r="6" ht="17.4" customHeight="1">
      <c r="A6" s="57"/>
      <c r="B6" s="58"/>
      <c r="C6" s="60"/>
      <c r="D6" t="s" s="62">
        <v>40</v>
      </c>
      <c r="E6" s="36"/>
      <c r="F6" s="63"/>
      <c r="G6" s="64"/>
      <c r="H6" s="61"/>
      <c r="I6" s="58"/>
      <c r="J6" s="57"/>
      <c r="K6" s="58"/>
      <c r="L6" s="58"/>
      <c r="M6" s="58"/>
      <c r="N6" s="58"/>
    </row>
    <row r="7" ht="26.4" customHeight="1">
      <c r="A7" s="57"/>
      <c r="B7" s="36"/>
      <c r="C7" t="s" s="65">
        <v>41</v>
      </c>
      <c r="D7" t="s" s="66">
        <v>42</v>
      </c>
      <c r="E7" t="s" s="66">
        <v>43</v>
      </c>
      <c r="F7" t="s" s="66">
        <v>44</v>
      </c>
      <c r="G7" s="67"/>
      <c r="H7" s="61"/>
      <c r="I7" s="68"/>
      <c r="J7" s="69"/>
      <c r="K7" s="70"/>
      <c r="L7" s="58"/>
      <c r="M7" s="58"/>
      <c r="N7" s="58"/>
    </row>
    <row r="8" ht="48" customHeight="1">
      <c r="A8" s="71"/>
      <c r="B8" t="s" s="72">
        <v>45</v>
      </c>
      <c r="C8" t="s" s="72">
        <v>46</v>
      </c>
      <c r="D8" t="s" s="73">
        <v>47</v>
      </c>
      <c r="E8" t="s" s="65">
        <v>48</v>
      </c>
      <c r="F8" t="s" s="65">
        <v>49</v>
      </c>
      <c r="G8" s="74"/>
      <c r="H8" s="31"/>
      <c r="I8" t="s" s="75">
        <v>50</v>
      </c>
      <c r="J8" s="76"/>
      <c r="K8" s="68"/>
      <c r="L8" s="58"/>
      <c r="M8" s="70"/>
      <c r="N8" s="60"/>
    </row>
    <row r="9" ht="26.4" customHeight="1">
      <c r="A9" t="s" s="77">
        <v>33</v>
      </c>
      <c r="B9" t="s" s="78">
        <v>51</v>
      </c>
      <c r="C9" s="79">
        <v>6</v>
      </c>
      <c r="D9" s="80" cm="1">
        <f t="array" ref="D9">RANK(C9,C$9:C$20,1)</f>
        <v>5</v>
      </c>
      <c r="E9" s="81" cm="1">
        <f t="array" ref="E9">LN(LN(1/(1-((D9-0.3)/(12+0.4)))))</f>
        <v>-0.741337622720735</v>
      </c>
      <c r="F9" s="81" cm="1">
        <f t="array" ref="F9">LN(C9)</f>
        <v>1.79175946922805</v>
      </c>
      <c r="G9" s="74"/>
      <c r="H9" s="82"/>
      <c r="I9" t="s" s="83">
        <v>52</v>
      </c>
      <c r="J9" s="84" cm="1">
        <f t="array" ref="J9">1/SLOPE(F9:F20,E9:E20)</f>
        <v>2.74168461879679</v>
      </c>
      <c r="K9" t="s" s="85">
        <v>53</v>
      </c>
      <c r="L9" s="74"/>
      <c r="M9" s="36"/>
      <c r="N9" t="s" s="86">
        <v>54</v>
      </c>
    </row>
    <row r="10" ht="26.4" customHeight="1">
      <c r="A10" s="87"/>
      <c r="B10" t="s" s="88">
        <v>55</v>
      </c>
      <c r="C10" s="79">
        <v>9</v>
      </c>
      <c r="D10" s="80" cm="1">
        <f t="array" ref="D10">RANK(C10,C$9:C$20,1)</f>
        <v>9</v>
      </c>
      <c r="E10" s="81" cm="1">
        <f t="array" ref="E10">LN(LN(1/(1-((D10-0.3)/(12+0.4)))))</f>
        <v>0.19009431462729</v>
      </c>
      <c r="F10" s="81" cm="1">
        <f t="array" ref="F10">LN(C10)</f>
        <v>2.19722457733622</v>
      </c>
      <c r="G10" s="74"/>
      <c r="H10" s="82"/>
      <c r="I10" t="s" s="89">
        <v>56</v>
      </c>
      <c r="J10" s="84" cm="1">
        <f t="array" ref="J10">EXP(INTERCEPT(F9:F20,E9:E20))</f>
        <v>8.119864546889129</v>
      </c>
      <c r="K10" t="s" s="85">
        <v>57</v>
      </c>
      <c r="L10" s="91"/>
      <c r="M10" t="s" s="92">
        <v>58</v>
      </c>
      <c r="N10" t="s" s="92">
        <v>59</v>
      </c>
    </row>
    <row r="11" ht="26.4" customHeight="1">
      <c r="A11" s="87"/>
      <c r="B11" t="s" s="93">
        <v>60</v>
      </c>
      <c r="C11" s="79">
        <v>7</v>
      </c>
      <c r="D11" s="80" cm="1">
        <f t="array" ref="D11">RANK(C11,C$9:C$20,1)</f>
        <v>6</v>
      </c>
      <c r="E11" s="81" cm="1">
        <f t="array" ref="E11">LN(LN(1/(1-((D11-0.3)/(12+0.4)))))</f>
        <v>-0.48517583329612</v>
      </c>
      <c r="F11" s="81" cm="1">
        <f t="array" ref="F11">LN(C11)</f>
        <v>1.94591014905531</v>
      </c>
      <c r="G11" s="94"/>
      <c r="H11" s="95"/>
      <c r="I11" t="s" s="96">
        <v>61</v>
      </c>
      <c r="J11" s="97">
        <v>0.48610038187219</v>
      </c>
      <c r="K11" t="s" s="85">
        <v>62</v>
      </c>
      <c r="L11" s="91"/>
      <c r="M11" s="98" cm="1">
        <f t="array" ref="M11">AVERAGE(C9:C20)</f>
        <v>6.91666666666667</v>
      </c>
      <c r="N11" s="99" cm="1">
        <f t="array" ref="N11">EXPONDIST(C11,1/M11,1)</f>
        <v>0.636526247664483</v>
      </c>
    </row>
    <row r="12" ht="21" customHeight="1">
      <c r="A12" s="87"/>
      <c r="B12" t="s" s="100">
        <v>63</v>
      </c>
      <c r="C12" s="79">
        <v>4</v>
      </c>
      <c r="D12" s="80" cm="1">
        <f t="array" ref="D12">RANK(C12,C$9:C$20,1)</f>
        <v>2</v>
      </c>
      <c r="E12" s="81" cm="1">
        <f t="array" ref="E12">LN(LN(1/(1-((D12-0.3)/(12+0.4)))))</f>
        <v>-1.91424762138896</v>
      </c>
      <c r="F12" s="81" cm="1">
        <f t="array" ref="F12">LN(C12)</f>
        <v>1.38629436111989</v>
      </c>
      <c r="G12" s="74"/>
      <c r="H12" s="60"/>
      <c r="I12" s="51"/>
      <c r="J12" s="101"/>
      <c r="K12" s="51"/>
      <c r="L12" s="58"/>
      <c r="M12" s="51"/>
      <c r="N12" s="51"/>
    </row>
    <row r="13" ht="21" customHeight="1">
      <c r="A13" t="s" s="77">
        <v>38</v>
      </c>
      <c r="B13" t="s" s="102">
        <v>51</v>
      </c>
      <c r="C13" s="79">
        <v>7</v>
      </c>
      <c r="D13" s="80" cm="1">
        <f t="array" ref="D13">RANK(C13,C$9:C$20,1)</f>
        <v>6</v>
      </c>
      <c r="E13" s="81" cm="1">
        <f t="array" ref="E13">LN(LN(1/(1-((D13-0.3)/(12+0.4)))))</f>
        <v>-0.48517583329612</v>
      </c>
      <c r="F13" s="81" cm="1">
        <f t="array" ref="F13">LN(C13)</f>
        <v>1.94591014905531</v>
      </c>
      <c r="G13" s="91"/>
      <c r="H13" s="103"/>
      <c r="I13" s="74"/>
      <c r="J13" s="57"/>
      <c r="K13" s="58"/>
      <c r="L13" s="58"/>
      <c r="M13" s="58"/>
      <c r="N13" s="58"/>
    </row>
    <row r="14" ht="21.6" customHeight="1">
      <c r="A14" s="87"/>
      <c r="B14" t="s" s="88">
        <v>55</v>
      </c>
      <c r="C14" s="79">
        <v>5</v>
      </c>
      <c r="D14" s="80" cm="1">
        <f t="array" ref="D14">RANK(C14,C$9:C$20,1)</f>
        <v>4</v>
      </c>
      <c r="E14" s="81" cm="1">
        <f t="array" ref="E14">LN(LN(1/(1-((D14-0.3)/(12+0.4)))))</f>
        <v>-1.03740398701285</v>
      </c>
      <c r="F14" s="81" cm="1">
        <f t="array" ref="F14">LN(C14)</f>
        <v>1.6094379124341</v>
      </c>
      <c r="G14" s="94"/>
      <c r="H14" s="104"/>
      <c r="I14" t="s" s="105">
        <v>64</v>
      </c>
      <c r="J14" s="106"/>
      <c r="K14" s="61"/>
      <c r="L14" s="58"/>
      <c r="M14" s="58"/>
      <c r="N14" s="58"/>
    </row>
    <row r="15" ht="21" customHeight="1">
      <c r="A15" s="87"/>
      <c r="B15" t="s" s="93">
        <v>60</v>
      </c>
      <c r="C15" s="79">
        <v>12</v>
      </c>
      <c r="D15" s="80" cm="1">
        <f t="array" ref="D15">RANK(C15,C$9:C$20,1)</f>
        <v>12</v>
      </c>
      <c r="E15" s="81" cm="1">
        <f t="array" ref="E15">LN(LN(1/(1-((D15-0.3)/(12+0.4)))))</f>
        <v>1.05583401262277</v>
      </c>
      <c r="F15" s="81" cm="1">
        <f t="array" ref="F15">LN(C15)</f>
        <v>2.484906649788</v>
      </c>
      <c r="G15" s="74"/>
      <c r="H15" s="58"/>
      <c r="I15" s="107"/>
      <c r="J15" s="108"/>
      <c r="K15" s="61"/>
      <c r="L15" s="58"/>
      <c r="M15" s="58"/>
      <c r="N15" s="58"/>
    </row>
    <row r="16" ht="21" customHeight="1">
      <c r="A16" s="87"/>
      <c r="B16" t="s" s="100">
        <v>63</v>
      </c>
      <c r="C16" s="79">
        <v>10</v>
      </c>
      <c r="D16" s="80" cm="1">
        <f t="array" ref="D16">RANK(C16,C$9:C$20,1)</f>
        <v>11</v>
      </c>
      <c r="E16" s="81" cm="1">
        <f t="array" ref="E16">LN(LN(1/(1-((D16-0.3)/(12+0.4)))))</f>
        <v>0.686660296925337</v>
      </c>
      <c r="F16" s="81" cm="1">
        <f t="array" ref="F16">LN(C16)</f>
        <v>2.30258509299405</v>
      </c>
      <c r="G16" s="74"/>
      <c r="H16" s="58"/>
      <c r="I16" s="58"/>
      <c r="J16" s="57"/>
      <c r="K16" s="58"/>
      <c r="L16" s="58"/>
      <c r="M16" s="58"/>
      <c r="N16" s="58"/>
    </row>
    <row r="17" ht="21" customHeight="1">
      <c r="A17" t="s" s="77">
        <v>39</v>
      </c>
      <c r="B17" t="s" s="102">
        <v>51</v>
      </c>
      <c r="C17" s="79">
        <v>9</v>
      </c>
      <c r="D17" s="80" cm="1">
        <f t="array" ref="D17">RANK(C17,C$9:C$20,1)</f>
        <v>9</v>
      </c>
      <c r="E17" s="81" cm="1">
        <f t="array" ref="E17">LN(LN(1/(1-((D17-0.3)/(12+0.4)))))</f>
        <v>0.19009431462729</v>
      </c>
      <c r="F17" s="81" cm="1">
        <f t="array" ref="F17">LN(C17)</f>
        <v>2.19722457733622</v>
      </c>
      <c r="G17" s="94"/>
      <c r="H17" s="95"/>
      <c r="I17" s="58"/>
      <c r="J17" s="57"/>
      <c r="K17" s="58"/>
      <c r="L17" s="58"/>
      <c r="M17" s="58"/>
      <c r="N17" s="58"/>
    </row>
    <row r="18" ht="21" customHeight="1">
      <c r="A18" s="87"/>
      <c r="B18" t="s" s="88">
        <v>55</v>
      </c>
      <c r="C18" s="79">
        <v>7</v>
      </c>
      <c r="D18" s="80" cm="1">
        <f t="array" ref="D18">RANK(C18,C$9:C$20,1)</f>
        <v>6</v>
      </c>
      <c r="E18" s="81" cm="1">
        <f t="array" ref="E18">LN(LN(1/(1-((D18-0.3)/(12+0.4)))))</f>
        <v>-0.48517583329612</v>
      </c>
      <c r="F18" s="81" cm="1">
        <f t="array" ref="F18">LN(C18)</f>
        <v>1.94591014905531</v>
      </c>
      <c r="G18" s="74"/>
      <c r="H18" s="58"/>
      <c r="I18" s="58"/>
      <c r="J18" s="109"/>
      <c r="K18" s="58"/>
      <c r="L18" s="58"/>
      <c r="M18" s="58"/>
      <c r="N18" s="58"/>
    </row>
    <row r="19" ht="21" customHeight="1">
      <c r="A19" s="87"/>
      <c r="B19" t="s" s="93">
        <v>60</v>
      </c>
      <c r="C19" s="79">
        <v>3</v>
      </c>
      <c r="D19" s="80" cm="1">
        <f t="array" ref="D19">RANK(C19,C$9:C$20,1)</f>
        <v>1</v>
      </c>
      <c r="E19" s="81" cm="1">
        <f t="array" ref="E19">LN(LN(1/(1-((D19-0.3)/(12+0.4)))))</f>
        <v>-2.84545828455263</v>
      </c>
      <c r="F19" s="81" cm="1">
        <f t="array" ref="F19">LN(C19)</f>
        <v>1.09861228866811</v>
      </c>
      <c r="G19" s="110"/>
      <c r="H19" s="111"/>
      <c r="I19" s="58"/>
      <c r="J19" s="57"/>
      <c r="K19" s="58"/>
      <c r="L19" s="58"/>
      <c r="M19" s="58"/>
      <c r="N19" s="58"/>
    </row>
    <row r="20" ht="21" customHeight="1">
      <c r="A20" s="87"/>
      <c r="B20" t="s" s="100">
        <v>63</v>
      </c>
      <c r="C20" s="79">
        <v>4</v>
      </c>
      <c r="D20" s="80" cm="1">
        <f t="array" ref="D20">RANK(C20,C$9:C$20,1)</f>
        <v>2</v>
      </c>
      <c r="E20" s="81" cm="1">
        <f t="array" ref="E20">LN(LN(1/(1-((D20-0.3)/(12+0.4)))))</f>
        <v>-1.91424762138896</v>
      </c>
      <c r="F20" s="81" cm="1">
        <f t="array" ref="F20">LN(C20)</f>
        <v>1.38629436111989</v>
      </c>
      <c r="G20" s="94"/>
      <c r="H20" s="95"/>
      <c r="I20" s="58"/>
      <c r="J20" s="57"/>
      <c r="K20" s="58"/>
      <c r="L20" s="58"/>
      <c r="M20" s="58"/>
      <c r="N20" s="58"/>
    </row>
    <row r="21" ht="21" customHeight="1">
      <c r="A21" s="112"/>
      <c r="B21" t="s" s="113">
        <v>65</v>
      </c>
      <c r="C21" s="114" cm="1">
        <f t="array" ref="C21">C23</f>
        <v>7.02910780942421</v>
      </c>
      <c r="D21" s="115"/>
      <c r="E21" s="116"/>
      <c r="F21" s="116"/>
      <c r="G21" s="58"/>
      <c r="H21" s="58"/>
      <c r="I21" s="58"/>
      <c r="J21" s="57"/>
      <c r="K21" s="58"/>
      <c r="L21" s="58"/>
      <c r="M21" s="58"/>
      <c r="N21" s="58"/>
    </row>
    <row r="22" ht="28.8" customHeight="1">
      <c r="A22" s="57"/>
      <c r="B22" s="117"/>
      <c r="C22" s="118"/>
      <c r="D22" s="95"/>
      <c r="E22" s="119"/>
      <c r="F22" s="119"/>
      <c r="G22" s="95"/>
      <c r="H22" s="120"/>
      <c r="I22" s="121"/>
      <c r="J22" s="122"/>
      <c r="K22" s="123"/>
      <c r="L22" s="58"/>
      <c r="M22" s="58"/>
      <c r="N22" s="58"/>
    </row>
    <row r="23" ht="79.2" customHeight="1">
      <c r="A23" s="124"/>
      <c r="B23" t="s" s="125">
        <v>66</v>
      </c>
      <c r="C23" s="138" cm="1">
        <f t="array" ref="C23">EXP(((LN(-LN(1-49%)))/(J9))+(LN(J10)))</f>
        <v>7.02910780942421</v>
      </c>
      <c r="D23" s="94"/>
      <c r="E23" s="119"/>
      <c r="F23" s="119"/>
      <c r="G23" s="95"/>
      <c r="H23" s="127"/>
      <c r="I23" s="123"/>
      <c r="J23" s="122"/>
      <c r="K23" s="123"/>
      <c r="L23" s="58"/>
      <c r="M23" s="58"/>
      <c r="N23" s="58"/>
    </row>
    <row r="24" ht="79.2" customHeight="1">
      <c r="A24" s="124"/>
      <c r="B24" t="s" s="128">
        <v>67</v>
      </c>
      <c r="C24" s="129" cm="1">
        <f t="array" ref="C24">LN(1-75%)/(-1/M11)</f>
        <v>9.588535997745909</v>
      </c>
      <c r="D24" s="130"/>
      <c r="E24" s="58"/>
      <c r="F24" s="58"/>
      <c r="G24" s="123"/>
      <c r="H24" s="131"/>
      <c r="I24" s="123"/>
      <c r="J24" s="122"/>
      <c r="K24" s="123"/>
      <c r="L24" s="58"/>
      <c r="M24" s="58"/>
      <c r="N24" s="58"/>
    </row>
    <row r="25" ht="28.8" customHeight="1">
      <c r="A25" s="57"/>
      <c r="B25" s="132"/>
      <c r="C25" s="133"/>
      <c r="D25" s="58"/>
      <c r="E25" s="58"/>
      <c r="F25" s="58"/>
      <c r="G25" s="123"/>
      <c r="H25" s="131"/>
      <c r="I25" s="123"/>
      <c r="J25" s="122"/>
      <c r="K25" s="123"/>
      <c r="L25" s="58"/>
      <c r="M25" s="58"/>
      <c r="N25" s="58"/>
    </row>
    <row r="26" ht="28.8" customHeight="1">
      <c r="A26" s="134"/>
      <c r="B26" t="s" s="135">
        <v>68</v>
      </c>
      <c r="C26" s="136" cm="1">
        <f t="array" ref="C26">STDEVP(C9:C20)</f>
        <v>2.59673940848048</v>
      </c>
      <c r="D26" s="94"/>
      <c r="E26" s="95"/>
      <c r="F26" s="95"/>
      <c r="G26" s="123"/>
      <c r="H26" s="137"/>
      <c r="I26" s="123"/>
      <c r="J26" s="122"/>
      <c r="K26" s="123"/>
      <c r="L26" s="58"/>
      <c r="M26" s="58"/>
      <c r="N26" s="58"/>
    </row>
    <row r="27" ht="28.8" customHeight="1">
      <c r="A27" s="134"/>
      <c r="B27" t="s" s="135">
        <v>69</v>
      </c>
      <c r="C27" s="138" cm="1">
        <f t="array" ref="C27">C23+(NORMSDIST(0.99)*(C26/SQRT(12)))</f>
        <v>7.65796877681989</v>
      </c>
      <c r="D27" s="139"/>
      <c r="E27" s="95"/>
      <c r="F27" s="95"/>
      <c r="G27" s="123"/>
      <c r="H27" s="123"/>
      <c r="I27" s="123"/>
      <c r="J27" s="122"/>
      <c r="K27" s="123"/>
      <c r="L27" s="58"/>
      <c r="M27" s="58"/>
      <c r="N27" s="58"/>
    </row>
    <row r="28" ht="28.8" customHeight="1">
      <c r="A28" s="134"/>
      <c r="B28" t="s" s="135">
        <v>70</v>
      </c>
      <c r="C28" s="140" cm="1">
        <f t="array" ref="C28">C23-(NORMSDIST(0.99)*(C26/SQRT(12)))</f>
        <v>6.40024684202853</v>
      </c>
      <c r="D28" s="139"/>
      <c r="E28" s="95"/>
      <c r="F28" s="95"/>
      <c r="G28" s="123"/>
      <c r="H28" s="123"/>
      <c r="I28" s="123"/>
      <c r="J28" s="122"/>
      <c r="K28" s="123"/>
      <c r="L28" s="58"/>
      <c r="M28" s="58"/>
      <c r="N28" s="58"/>
    </row>
    <row r="29" ht="28.8" customHeight="1">
      <c r="A29" s="57"/>
      <c r="B29" s="51"/>
      <c r="C29" s="141"/>
      <c r="D29" s="58"/>
      <c r="E29" s="58"/>
      <c r="F29" s="58"/>
      <c r="G29" s="123"/>
      <c r="H29" s="131"/>
      <c r="I29" s="123"/>
      <c r="J29" s="122"/>
      <c r="K29" s="123"/>
      <c r="L29" s="58"/>
      <c r="M29" s="58"/>
      <c r="N29" s="58"/>
    </row>
    <row r="30" ht="28.8" customHeight="1">
      <c r="A30" s="57"/>
      <c r="B30" s="58"/>
      <c r="C30" s="142"/>
      <c r="D30" s="58"/>
      <c r="E30" s="58"/>
      <c r="F30" s="58"/>
      <c r="G30" s="123"/>
      <c r="H30" s="131"/>
      <c r="I30" s="123"/>
      <c r="J30" s="122"/>
      <c r="K30" s="123"/>
      <c r="L30" s="58"/>
      <c r="M30" s="58"/>
      <c r="N30" s="58"/>
    </row>
    <row r="31" ht="17.4" customHeight="1">
      <c r="A31" s="57"/>
      <c r="B31" s="58"/>
      <c r="C31" s="58"/>
      <c r="D31" s="58"/>
      <c r="E31" s="58"/>
      <c r="F31" s="58"/>
      <c r="G31" s="58"/>
      <c r="H31" s="58"/>
      <c r="I31" s="58"/>
      <c r="J31" s="57"/>
      <c r="K31" s="58"/>
      <c r="L31" s="58"/>
      <c r="M31" s="58"/>
      <c r="N31" s="58"/>
    </row>
    <row r="32" ht="17.4" customHeight="1">
      <c r="A32" s="57"/>
      <c r="B32" s="58"/>
      <c r="C32" s="58"/>
      <c r="D32" s="58"/>
      <c r="E32" s="58"/>
      <c r="F32" s="58"/>
      <c r="G32" s="58"/>
      <c r="H32" s="58"/>
      <c r="I32" s="58"/>
      <c r="J32" s="57"/>
      <c r="K32" s="58"/>
      <c r="L32" s="58"/>
      <c r="M32" s="58"/>
      <c r="N32" s="58"/>
    </row>
    <row r="33" ht="17.4" customHeight="1">
      <c r="A33" s="61"/>
      <c r="B33" s="123"/>
      <c r="C33" s="143"/>
      <c r="D33" s="58"/>
      <c r="E33" s="58"/>
      <c r="F33" s="58"/>
      <c r="G33" s="58"/>
      <c r="H33" s="58"/>
      <c r="I33" s="144"/>
      <c r="J33" s="57"/>
      <c r="K33" s="58"/>
      <c r="L33" s="58"/>
      <c r="M33" s="58"/>
      <c r="N33" s="58"/>
    </row>
    <row r="34" ht="17.4" customHeight="1">
      <c r="A34" s="61"/>
      <c r="B34" s="123"/>
      <c r="C34" s="143"/>
      <c r="D34" s="58"/>
      <c r="E34" s="58"/>
      <c r="F34" s="145"/>
      <c r="G34" s="58"/>
      <c r="H34" s="58"/>
      <c r="I34" s="58"/>
      <c r="J34" s="57"/>
      <c r="K34" s="58"/>
      <c r="L34" s="58"/>
      <c r="M34" s="58"/>
      <c r="N34" s="58"/>
    </row>
    <row r="35" ht="17.4" customHeight="1">
      <c r="A35" s="61"/>
      <c r="B35" s="123"/>
      <c r="C35" s="143"/>
      <c r="D35" s="58"/>
      <c r="E35" s="58"/>
      <c r="F35" s="146"/>
      <c r="G35" s="58"/>
      <c r="H35" s="58"/>
      <c r="I35" s="58"/>
      <c r="J35" s="57"/>
      <c r="K35" s="58"/>
      <c r="L35" s="58"/>
      <c r="M35" s="58"/>
      <c r="N35" s="58"/>
    </row>
    <row r="36" ht="17.4" customHeight="1">
      <c r="A36" s="61"/>
      <c r="B36" s="123"/>
      <c r="C36" s="143"/>
      <c r="D36" s="58"/>
      <c r="E36" s="58"/>
      <c r="F36" s="147"/>
      <c r="G36" s="58"/>
      <c r="H36" s="58"/>
      <c r="I36" s="58"/>
      <c r="J36" s="57"/>
      <c r="K36" s="58"/>
      <c r="L36" s="58"/>
      <c r="M36" s="58"/>
      <c r="N36" s="58"/>
    </row>
    <row r="37" ht="17.4" customHeight="1">
      <c r="A37" s="57"/>
      <c r="B37" s="58"/>
      <c r="C37" s="58"/>
      <c r="D37" s="58"/>
      <c r="E37" s="58"/>
      <c r="F37" s="58"/>
      <c r="G37" s="58"/>
      <c r="H37" s="58"/>
      <c r="I37" s="58"/>
      <c r="J37" s="57"/>
      <c r="K37" s="58"/>
      <c r="L37" s="58"/>
      <c r="M37" s="58"/>
      <c r="N37" s="58"/>
    </row>
    <row r="38" ht="17.4" customHeight="1">
      <c r="A38" s="57"/>
      <c r="B38" s="58"/>
      <c r="C38" s="58"/>
      <c r="D38" s="58"/>
      <c r="E38" s="58"/>
      <c r="F38" s="58"/>
      <c r="G38" s="58"/>
      <c r="H38" s="58"/>
      <c r="I38" s="58"/>
      <c r="J38" s="57"/>
      <c r="K38" s="58"/>
      <c r="L38" s="58"/>
      <c r="M38" s="58"/>
      <c r="N38" s="58"/>
    </row>
    <row r="39" ht="17.4" customHeight="1">
      <c r="A39" s="57"/>
      <c r="B39" s="58"/>
      <c r="C39" s="58"/>
      <c r="D39" s="58"/>
      <c r="E39" s="58"/>
      <c r="F39" s="58"/>
      <c r="G39" s="58"/>
      <c r="H39" s="58"/>
      <c r="I39" s="58"/>
      <c r="J39" s="57"/>
      <c r="K39" s="58"/>
      <c r="L39" s="58"/>
      <c r="M39" s="58"/>
      <c r="N39" s="58"/>
    </row>
    <row r="40" ht="17.4" customHeight="1">
      <c r="A40" s="57"/>
      <c r="B40" s="58"/>
      <c r="C40" s="58"/>
      <c r="D40" s="58"/>
      <c r="E40" s="58"/>
      <c r="F40" s="58"/>
      <c r="G40" s="58"/>
      <c r="H40" s="58"/>
      <c r="I40" s="58"/>
      <c r="J40" s="57"/>
      <c r="K40" s="58"/>
      <c r="L40" s="58"/>
      <c r="M40" s="58"/>
      <c r="N40" s="58"/>
    </row>
    <row r="41" ht="17.4" customHeight="1">
      <c r="A41" s="57"/>
      <c r="B41" s="58"/>
      <c r="C41" s="58"/>
      <c r="D41" s="58"/>
      <c r="E41" s="58"/>
      <c r="F41" s="58"/>
      <c r="G41" s="58"/>
      <c r="H41" s="58"/>
      <c r="I41" s="58"/>
      <c r="J41" s="57"/>
      <c r="K41" s="58"/>
      <c r="L41" s="58"/>
      <c r="M41" s="58"/>
      <c r="N41" s="58"/>
    </row>
    <row r="42" ht="17.4" customHeight="1">
      <c r="A42" s="57"/>
      <c r="B42" s="58"/>
      <c r="C42" s="58"/>
      <c r="D42" s="58"/>
      <c r="E42" s="58"/>
      <c r="F42" s="58"/>
      <c r="G42" s="58"/>
      <c r="H42" s="58"/>
      <c r="I42" s="58"/>
      <c r="J42" s="57"/>
      <c r="K42" s="58"/>
      <c r="L42" s="58"/>
      <c r="M42" s="58"/>
      <c r="N42" s="58"/>
    </row>
    <row r="43" ht="17.4" customHeight="1">
      <c r="A43" s="57"/>
      <c r="B43" s="58"/>
      <c r="C43" s="58"/>
      <c r="D43" s="58"/>
      <c r="E43" s="58"/>
      <c r="F43" s="58"/>
      <c r="G43" s="58"/>
      <c r="H43" s="58"/>
      <c r="I43" s="58"/>
      <c r="J43" s="57"/>
      <c r="K43" s="58"/>
      <c r="L43" s="58"/>
      <c r="M43" s="58"/>
      <c r="N43" s="58"/>
    </row>
    <row r="44" ht="17.4" customHeight="1">
      <c r="A44" s="57"/>
      <c r="B44" s="58"/>
      <c r="C44" s="58"/>
      <c r="D44" s="58"/>
      <c r="E44" s="58"/>
      <c r="F44" s="58"/>
      <c r="G44" s="58"/>
      <c r="H44" s="58"/>
      <c r="I44" s="58"/>
      <c r="J44" s="57"/>
      <c r="K44" s="58"/>
      <c r="L44" s="58"/>
      <c r="M44" s="58"/>
      <c r="N44" s="58"/>
    </row>
    <row r="45" ht="17.4" customHeight="1">
      <c r="A45" s="57"/>
      <c r="B45" s="58"/>
      <c r="C45" s="58"/>
      <c r="D45" s="58"/>
      <c r="E45" s="58"/>
      <c r="F45" s="58"/>
      <c r="G45" s="58"/>
      <c r="H45" s="58"/>
      <c r="I45" s="58"/>
      <c r="J45" s="57"/>
      <c r="K45" s="58"/>
      <c r="L45" s="58"/>
      <c r="M45" s="58"/>
      <c r="N45" s="58"/>
    </row>
    <row r="46" ht="17.4" customHeight="1">
      <c r="A46" s="57"/>
      <c r="B46" s="58"/>
      <c r="C46" s="58"/>
      <c r="D46" s="58"/>
      <c r="E46" s="58"/>
      <c r="F46" s="58"/>
      <c r="G46" s="58"/>
      <c r="H46" s="58"/>
      <c r="I46" s="58"/>
      <c r="J46" s="57"/>
      <c r="K46" s="58"/>
      <c r="L46" s="58"/>
      <c r="M46" s="58"/>
      <c r="N46" s="58"/>
    </row>
    <row r="47" ht="17.4" customHeight="1">
      <c r="A47" s="57"/>
      <c r="B47" s="58"/>
      <c r="C47" s="58"/>
      <c r="D47" s="58"/>
      <c r="E47" s="58"/>
      <c r="F47" s="58"/>
      <c r="G47" s="58"/>
      <c r="H47" s="58"/>
      <c r="I47" s="58"/>
      <c r="J47" s="57"/>
      <c r="K47" s="58"/>
      <c r="L47" s="58"/>
      <c r="M47" s="58"/>
      <c r="N47" s="58"/>
    </row>
    <row r="48" ht="23.4" customHeight="1">
      <c r="A48" s="61"/>
      <c r="B48" s="123"/>
      <c r="C48" s="143"/>
      <c r="D48" s="58"/>
      <c r="E48" s="58"/>
      <c r="F48" s="148"/>
      <c r="G48" s="58"/>
      <c r="H48" s="58"/>
      <c r="I48" s="58"/>
      <c r="J48" s="57"/>
      <c r="K48" s="58"/>
      <c r="L48" s="58"/>
      <c r="M48" s="58"/>
      <c r="N48" s="58"/>
    </row>
    <row r="49" ht="17.4" customHeight="1">
      <c r="A49" s="57"/>
      <c r="B49" s="58"/>
      <c r="C49" s="58"/>
      <c r="D49" s="58"/>
      <c r="E49" s="58"/>
      <c r="F49" s="58"/>
      <c r="G49" s="58"/>
      <c r="H49" s="58"/>
      <c r="I49" s="58"/>
      <c r="J49" s="57"/>
      <c r="K49" s="58"/>
      <c r="L49" s="58"/>
      <c r="M49" s="58"/>
      <c r="N49" s="58"/>
    </row>
    <row r="50" ht="17.4" customHeight="1">
      <c r="A50" s="57"/>
      <c r="B50" s="58"/>
      <c r="C50" s="58"/>
      <c r="D50" s="58"/>
      <c r="E50" s="58"/>
      <c r="F50" s="58"/>
      <c r="G50" s="58"/>
      <c r="H50" s="58"/>
      <c r="I50" s="58"/>
      <c r="J50" s="57"/>
      <c r="K50" s="58"/>
      <c r="L50" s="58"/>
      <c r="M50" s="58"/>
      <c r="N50" s="58"/>
    </row>
    <row r="51" ht="17.4" customHeight="1">
      <c r="A51" s="57"/>
      <c r="B51" s="58"/>
      <c r="C51" s="58"/>
      <c r="D51" s="58"/>
      <c r="E51" s="58"/>
      <c r="F51" s="58"/>
      <c r="G51" s="58"/>
      <c r="H51" s="58"/>
      <c r="I51" s="58"/>
      <c r="J51" s="57"/>
      <c r="K51" s="58"/>
      <c r="L51" s="58"/>
      <c r="M51" s="58"/>
      <c r="N51" s="58"/>
    </row>
    <row r="52" ht="17.4" customHeight="1">
      <c r="A52" s="57"/>
      <c r="B52" s="58"/>
      <c r="C52" s="58"/>
      <c r="D52" s="58"/>
      <c r="E52" s="58"/>
      <c r="F52" s="58"/>
      <c r="G52" s="58"/>
      <c r="H52" s="58"/>
      <c r="I52" s="58"/>
      <c r="J52" s="57"/>
      <c r="K52" s="58"/>
      <c r="L52" s="58"/>
      <c r="M52" s="58"/>
      <c r="N52" s="58"/>
    </row>
    <row r="53" ht="17.4" customHeight="1">
      <c r="A53" s="57"/>
      <c r="B53" s="58"/>
      <c r="C53" s="58"/>
      <c r="D53" s="58"/>
      <c r="E53" s="58"/>
      <c r="F53" s="58"/>
      <c r="G53" s="58"/>
      <c r="H53" s="58"/>
      <c r="I53" s="58"/>
      <c r="J53" s="57"/>
      <c r="K53" s="58"/>
      <c r="L53" s="58"/>
      <c r="M53" s="58"/>
      <c r="N53" s="58"/>
    </row>
    <row r="54" ht="17.4" customHeight="1">
      <c r="A54" s="57"/>
      <c r="B54" s="58"/>
      <c r="C54" s="58"/>
      <c r="D54" s="58"/>
      <c r="E54" s="58"/>
      <c r="F54" s="58"/>
      <c r="G54" s="58"/>
      <c r="H54" s="58"/>
      <c r="I54" s="58"/>
      <c r="J54" s="57"/>
      <c r="K54" s="58"/>
      <c r="L54" s="58"/>
      <c r="M54" s="58"/>
      <c r="N54" s="58"/>
    </row>
    <row r="55" ht="17.4" customHeight="1">
      <c r="A55" s="57"/>
      <c r="B55" s="58"/>
      <c r="C55" s="58"/>
      <c r="D55" s="58"/>
      <c r="E55" s="58"/>
      <c r="F55" s="58"/>
      <c r="G55" s="58"/>
      <c r="H55" s="58"/>
      <c r="I55" s="58"/>
      <c r="J55" s="57"/>
      <c r="K55" s="58"/>
      <c r="L55" s="58"/>
      <c r="M55" s="58"/>
      <c r="N55" s="58"/>
    </row>
    <row r="56" ht="17.4" customHeight="1">
      <c r="A56" s="57"/>
      <c r="B56" s="58"/>
      <c r="C56" s="58"/>
      <c r="D56" s="58"/>
      <c r="E56" s="58"/>
      <c r="F56" s="58"/>
      <c r="G56" s="58"/>
      <c r="H56" s="58"/>
      <c r="I56" s="58"/>
      <c r="J56" s="57"/>
      <c r="K56" s="58"/>
      <c r="L56" s="58"/>
      <c r="M56" s="58"/>
      <c r="N56" s="58"/>
    </row>
    <row r="57" ht="17.4" customHeight="1">
      <c r="A57" s="57"/>
      <c r="B57" s="58"/>
      <c r="C57" s="58"/>
      <c r="D57" s="58"/>
      <c r="E57" s="58"/>
      <c r="F57" s="58"/>
      <c r="G57" s="58"/>
      <c r="H57" s="58"/>
      <c r="I57" s="58"/>
      <c r="J57" s="57"/>
      <c r="K57" s="58"/>
      <c r="L57" s="58"/>
      <c r="M57" s="58"/>
      <c r="N57" s="58"/>
    </row>
    <row r="58" ht="17.4" customHeight="1">
      <c r="A58" s="57"/>
      <c r="B58" s="58"/>
      <c r="C58" s="58"/>
      <c r="D58" s="58"/>
      <c r="E58" s="58"/>
      <c r="F58" s="58"/>
      <c r="G58" s="58"/>
      <c r="H58" s="58"/>
      <c r="I58" s="58"/>
      <c r="J58" s="57"/>
      <c r="K58" s="58"/>
      <c r="L58" s="58"/>
      <c r="M58" s="58"/>
      <c r="N58" s="58"/>
    </row>
    <row r="59" ht="17.4" customHeight="1">
      <c r="A59" s="57"/>
      <c r="B59" s="58"/>
      <c r="C59" s="58"/>
      <c r="D59" s="58"/>
      <c r="E59" s="58"/>
      <c r="F59" s="58"/>
      <c r="G59" s="58"/>
      <c r="H59" s="58"/>
      <c r="I59" s="58"/>
      <c r="J59" s="57"/>
      <c r="K59" s="58"/>
      <c r="L59" s="58"/>
      <c r="M59" s="58"/>
      <c r="N59" s="58"/>
    </row>
    <row r="60" ht="17.4" customHeight="1">
      <c r="A60" s="57"/>
      <c r="B60" s="58"/>
      <c r="C60" s="58"/>
      <c r="D60" s="58"/>
      <c r="E60" s="58"/>
      <c r="F60" s="58"/>
      <c r="G60" s="58"/>
      <c r="H60" s="58"/>
      <c r="I60" s="58"/>
      <c r="J60" s="57"/>
      <c r="K60" s="58"/>
      <c r="L60" s="58"/>
      <c r="M60" s="58"/>
      <c r="N60" s="58"/>
    </row>
    <row r="61" ht="17.4" customHeight="1">
      <c r="A61" s="57"/>
      <c r="B61" s="58"/>
      <c r="C61" s="58"/>
      <c r="D61" s="58"/>
      <c r="E61" s="58"/>
      <c r="F61" s="58"/>
      <c r="G61" s="58"/>
      <c r="H61" s="58"/>
      <c r="I61" s="58"/>
      <c r="J61" s="57"/>
      <c r="K61" s="58"/>
      <c r="L61" s="58"/>
      <c r="M61" s="58"/>
      <c r="N61" s="58"/>
    </row>
    <row r="62" ht="17.4" customHeight="1">
      <c r="A62" s="57"/>
      <c r="B62" s="58"/>
      <c r="C62" s="58"/>
      <c r="D62" s="58"/>
      <c r="E62" s="58"/>
      <c r="F62" s="58"/>
      <c r="G62" s="58"/>
      <c r="H62" s="58"/>
      <c r="I62" s="58"/>
      <c r="J62" s="57"/>
      <c r="K62" s="58"/>
      <c r="L62" s="58"/>
      <c r="M62" s="58"/>
      <c r="N62" s="58"/>
    </row>
    <row r="63" ht="17.4" customHeight="1">
      <c r="A63" s="57"/>
      <c r="B63" s="58"/>
      <c r="C63" s="58"/>
      <c r="D63" s="58"/>
      <c r="E63" s="58"/>
      <c r="F63" s="58"/>
      <c r="G63" s="58"/>
      <c r="H63" s="58"/>
      <c r="I63" s="58"/>
      <c r="J63" s="57"/>
      <c r="K63" s="58"/>
      <c r="L63" s="58"/>
      <c r="M63" s="58"/>
      <c r="N63" s="58"/>
    </row>
    <row r="64" ht="17.4" customHeight="1">
      <c r="A64" s="57"/>
      <c r="B64" s="58"/>
      <c r="C64" s="58"/>
      <c r="D64" s="58"/>
      <c r="E64" s="58"/>
      <c r="F64" s="58"/>
      <c r="G64" s="58"/>
      <c r="H64" s="58"/>
      <c r="I64" s="58"/>
      <c r="J64" s="57"/>
      <c r="K64" s="58"/>
      <c r="L64" s="58"/>
      <c r="M64" s="58"/>
      <c r="N64" s="58"/>
    </row>
    <row r="65" ht="17.4" customHeight="1">
      <c r="A65" s="57"/>
      <c r="B65" s="58"/>
      <c r="C65" s="58"/>
      <c r="D65" s="58"/>
      <c r="E65" s="58"/>
      <c r="F65" s="58"/>
      <c r="G65" s="58"/>
      <c r="H65" s="58"/>
      <c r="I65" s="58"/>
      <c r="J65" s="57"/>
      <c r="K65" s="58"/>
      <c r="L65" s="58"/>
      <c r="M65" s="58"/>
      <c r="N65" s="58"/>
    </row>
    <row r="66" ht="17.4" customHeight="1">
      <c r="A66" s="57"/>
      <c r="B66" s="58"/>
      <c r="C66" s="58"/>
      <c r="D66" s="58"/>
      <c r="E66" s="58"/>
      <c r="F66" s="58"/>
      <c r="G66" s="58"/>
      <c r="H66" s="58"/>
      <c r="I66" s="58"/>
      <c r="J66" s="57"/>
      <c r="K66" s="58"/>
      <c r="L66" s="58"/>
      <c r="M66" s="58"/>
      <c r="N66" s="58"/>
    </row>
    <row r="67" ht="17.4" customHeight="1">
      <c r="A67" s="57"/>
      <c r="B67" s="58"/>
      <c r="C67" s="58"/>
      <c r="D67" s="58"/>
      <c r="E67" s="58"/>
      <c r="F67" s="58"/>
      <c r="G67" s="58"/>
      <c r="H67" s="58"/>
      <c r="I67" s="58"/>
      <c r="J67" s="57"/>
      <c r="K67" s="58"/>
      <c r="L67" s="58"/>
      <c r="M67" s="58"/>
      <c r="N67" s="58"/>
    </row>
    <row r="68" ht="17.4" customHeight="1">
      <c r="A68" s="57"/>
      <c r="B68" s="58"/>
      <c r="C68" s="58"/>
      <c r="D68" s="58"/>
      <c r="E68" s="58"/>
      <c r="F68" s="58"/>
      <c r="G68" s="58"/>
      <c r="H68" s="58"/>
      <c r="I68" s="58"/>
      <c r="J68" s="57"/>
      <c r="K68" s="58"/>
      <c r="L68" s="58"/>
      <c r="M68" s="58"/>
      <c r="N68" s="58"/>
    </row>
    <row r="69" ht="17.4" customHeight="1">
      <c r="A69" s="57"/>
      <c r="B69" s="58"/>
      <c r="C69" s="58"/>
      <c r="D69" s="58"/>
      <c r="E69" s="58"/>
      <c r="F69" s="58"/>
      <c r="G69" s="58"/>
      <c r="H69" s="58"/>
      <c r="I69" s="58"/>
      <c r="J69" s="57"/>
      <c r="K69" s="58"/>
      <c r="L69" s="58"/>
      <c r="M69" s="58"/>
      <c r="N69" s="58"/>
    </row>
    <row r="70" ht="17.4" customHeight="1">
      <c r="A70" s="57"/>
      <c r="B70" s="58"/>
      <c r="C70" s="58"/>
      <c r="D70" s="58"/>
      <c r="E70" s="58"/>
      <c r="F70" s="58"/>
      <c r="G70" s="58"/>
      <c r="H70" s="58"/>
      <c r="I70" s="58"/>
      <c r="J70" s="57"/>
      <c r="K70" s="58"/>
      <c r="L70" s="58"/>
      <c r="M70" s="58"/>
      <c r="N70" s="58"/>
    </row>
    <row r="71" ht="17.4" customHeight="1">
      <c r="A71" s="57"/>
      <c r="B71" s="58"/>
      <c r="C71" s="58"/>
      <c r="D71" s="58"/>
      <c r="E71" s="58"/>
      <c r="F71" s="58"/>
      <c r="G71" s="58"/>
      <c r="H71" s="58"/>
      <c r="I71" s="58"/>
      <c r="J71" s="57"/>
      <c r="K71" s="58"/>
      <c r="L71" s="58"/>
      <c r="M71" s="58"/>
      <c r="N71" s="58"/>
    </row>
    <row r="72" ht="17.4" customHeight="1">
      <c r="A72" s="57"/>
      <c r="B72" s="58"/>
      <c r="C72" s="58"/>
      <c r="D72" s="58"/>
      <c r="E72" s="58"/>
      <c r="F72" s="58"/>
      <c r="G72" s="58"/>
      <c r="H72" s="58"/>
      <c r="I72" s="58"/>
      <c r="J72" s="57"/>
      <c r="K72" s="58"/>
      <c r="L72" s="58"/>
      <c r="M72" s="58"/>
      <c r="N72" s="58"/>
    </row>
    <row r="73" ht="17.4" customHeight="1">
      <c r="A73" s="57"/>
      <c r="B73" s="58"/>
      <c r="C73" s="58"/>
      <c r="D73" s="58"/>
      <c r="E73" s="58"/>
      <c r="F73" s="58"/>
      <c r="G73" s="58"/>
      <c r="H73" s="58"/>
      <c r="I73" s="58"/>
      <c r="J73" s="57"/>
      <c r="K73" s="58"/>
      <c r="L73" s="58"/>
      <c r="M73" s="58"/>
      <c r="N73" s="58"/>
    </row>
    <row r="74" ht="17.4" customHeight="1">
      <c r="A74" s="57"/>
      <c r="B74" s="58"/>
      <c r="C74" s="58"/>
      <c r="D74" s="58"/>
      <c r="E74" s="58"/>
      <c r="F74" s="58"/>
      <c r="G74" s="58"/>
      <c r="H74" s="58"/>
      <c r="I74" s="58"/>
      <c r="J74" s="57"/>
      <c r="K74" s="58"/>
      <c r="L74" s="58"/>
      <c r="M74" s="58"/>
      <c r="N74" s="58"/>
    </row>
    <row r="75" ht="17.4" customHeight="1">
      <c r="A75" s="57"/>
      <c r="B75" s="58"/>
      <c r="C75" s="58"/>
      <c r="D75" s="58"/>
      <c r="E75" s="58"/>
      <c r="F75" s="58"/>
      <c r="G75" s="58"/>
      <c r="H75" s="58"/>
      <c r="I75" s="58"/>
      <c r="J75" s="57"/>
      <c r="K75" s="58"/>
      <c r="L75" s="58"/>
      <c r="M75" s="58"/>
      <c r="N75" s="58"/>
    </row>
    <row r="76" ht="17.4" customHeight="1">
      <c r="A76" s="57"/>
      <c r="B76" s="58"/>
      <c r="C76" s="58"/>
      <c r="D76" s="58"/>
      <c r="E76" s="58"/>
      <c r="F76" s="58"/>
      <c r="G76" s="58"/>
      <c r="H76" s="58"/>
      <c r="I76" s="58"/>
      <c r="J76" s="57"/>
      <c r="K76" s="58"/>
      <c r="L76" s="58"/>
      <c r="M76" s="58"/>
      <c r="N76" s="58"/>
    </row>
    <row r="77" ht="17.4" customHeight="1">
      <c r="A77" s="57"/>
      <c r="B77" s="58"/>
      <c r="C77" s="58"/>
      <c r="D77" s="58"/>
      <c r="E77" s="58"/>
      <c r="F77" s="58"/>
      <c r="G77" s="58"/>
      <c r="H77" s="58"/>
      <c r="I77" s="58"/>
      <c r="J77" s="57"/>
      <c r="K77" s="58"/>
      <c r="L77" s="58"/>
      <c r="M77" s="58"/>
      <c r="N77" s="58"/>
    </row>
    <row r="78" ht="17.4" customHeight="1">
      <c r="A78" s="57"/>
      <c r="B78" s="58"/>
      <c r="C78" s="58"/>
      <c r="D78" s="58"/>
      <c r="E78" s="58"/>
      <c r="F78" s="58"/>
      <c r="G78" s="58"/>
      <c r="H78" s="58"/>
      <c r="I78" s="58"/>
      <c r="J78" s="57"/>
      <c r="K78" s="58"/>
      <c r="L78" s="58"/>
      <c r="M78" s="58"/>
      <c r="N78" s="58"/>
    </row>
    <row r="79" ht="17.4" customHeight="1">
      <c r="A79" s="57"/>
      <c r="B79" s="58"/>
      <c r="C79" s="58"/>
      <c r="D79" s="58"/>
      <c r="E79" s="58"/>
      <c r="F79" s="58"/>
      <c r="G79" s="58"/>
      <c r="H79" s="58"/>
      <c r="I79" s="58"/>
      <c r="J79" s="57"/>
      <c r="K79" s="58"/>
      <c r="L79" s="58"/>
      <c r="M79" s="58"/>
      <c r="N79" s="58"/>
    </row>
    <row r="80" ht="17.4" customHeight="1">
      <c r="A80" s="57"/>
      <c r="B80" s="58"/>
      <c r="C80" s="58"/>
      <c r="D80" s="58"/>
      <c r="E80" s="58"/>
      <c r="F80" s="58"/>
      <c r="G80" s="58"/>
      <c r="H80" s="58"/>
      <c r="I80" s="58"/>
      <c r="J80" s="57"/>
      <c r="K80" s="58"/>
      <c r="L80" s="58"/>
      <c r="M80" s="58"/>
      <c r="N80" s="58"/>
    </row>
    <row r="81" ht="17.4" customHeight="1">
      <c r="A81" s="57"/>
      <c r="B81" s="58"/>
      <c r="C81" s="58"/>
      <c r="D81" s="58"/>
      <c r="E81" s="58"/>
      <c r="F81" s="58"/>
      <c r="G81" s="58"/>
      <c r="H81" s="58"/>
      <c r="I81" s="58"/>
      <c r="J81" s="57"/>
      <c r="K81" s="58"/>
      <c r="L81" s="58"/>
      <c r="M81" s="58"/>
      <c r="N81" s="58"/>
    </row>
    <row r="82" ht="17.4" customHeight="1">
      <c r="A82" s="57"/>
      <c r="B82" s="58"/>
      <c r="C82" s="58"/>
      <c r="D82" s="58"/>
      <c r="E82" s="58"/>
      <c r="F82" s="58"/>
      <c r="G82" s="58"/>
      <c r="H82" s="58"/>
      <c r="I82" s="58"/>
      <c r="J82" s="57"/>
      <c r="K82" s="58"/>
      <c r="L82" s="58"/>
      <c r="M82" s="58"/>
      <c r="N82" s="58"/>
    </row>
    <row r="83" ht="17.4" customHeight="1">
      <c r="A83" s="57"/>
      <c r="B83" s="58"/>
      <c r="C83" s="58"/>
      <c r="D83" s="58"/>
      <c r="E83" s="58"/>
      <c r="F83" s="58"/>
      <c r="G83" s="58"/>
      <c r="H83" s="58"/>
      <c r="I83" s="58"/>
      <c r="J83" s="57"/>
      <c r="K83" s="58"/>
      <c r="L83" s="58"/>
      <c r="M83" s="58"/>
      <c r="N83" s="58"/>
    </row>
    <row r="84" ht="17.4" customHeight="1">
      <c r="A84" s="57"/>
      <c r="B84" s="58"/>
      <c r="C84" s="58"/>
      <c r="D84" s="58"/>
      <c r="E84" s="58"/>
      <c r="F84" s="58"/>
      <c r="G84" s="58"/>
      <c r="H84" s="58"/>
      <c r="I84" s="58"/>
      <c r="J84" s="57"/>
      <c r="K84" s="58"/>
      <c r="L84" s="58"/>
      <c r="M84" s="58"/>
      <c r="N84" s="58"/>
    </row>
    <row r="85" ht="17.4" customHeight="1">
      <c r="A85" s="57"/>
      <c r="B85" s="58"/>
      <c r="C85" s="58"/>
      <c r="D85" s="58"/>
      <c r="E85" s="58"/>
      <c r="F85" s="58"/>
      <c r="G85" s="58"/>
      <c r="H85" s="58"/>
      <c r="I85" s="58"/>
      <c r="J85" s="57"/>
      <c r="K85" s="58"/>
      <c r="L85" s="58"/>
      <c r="M85" s="58"/>
      <c r="N85" s="58"/>
    </row>
    <row r="86" ht="17.4" customHeight="1">
      <c r="A86" s="57"/>
      <c r="B86" s="58"/>
      <c r="C86" s="58"/>
      <c r="D86" s="58"/>
      <c r="E86" s="58"/>
      <c r="F86" s="58"/>
      <c r="G86" s="58"/>
      <c r="H86" s="58"/>
      <c r="I86" s="58"/>
      <c r="J86" s="57"/>
      <c r="K86" s="58"/>
      <c r="L86" s="58"/>
      <c r="M86" s="58"/>
      <c r="N86" s="58"/>
    </row>
    <row r="87" ht="17.4" customHeight="1">
      <c r="A87" s="57"/>
      <c r="B87" s="58"/>
      <c r="C87" s="58"/>
      <c r="D87" s="58"/>
      <c r="E87" s="58"/>
      <c r="F87" s="58"/>
      <c r="G87" s="58"/>
      <c r="H87" s="58"/>
      <c r="I87" s="58"/>
      <c r="J87" s="57"/>
      <c r="K87" s="58"/>
      <c r="L87" s="58"/>
      <c r="M87" s="58"/>
      <c r="N87" s="58"/>
    </row>
    <row r="88" ht="17.4" customHeight="1">
      <c r="A88" s="57"/>
      <c r="B88" s="58"/>
      <c r="C88" s="58"/>
      <c r="D88" s="58"/>
      <c r="E88" s="58"/>
      <c r="F88" s="58"/>
      <c r="G88" s="58"/>
      <c r="H88" s="58"/>
      <c r="I88" s="58"/>
      <c r="J88" s="57"/>
      <c r="K88" s="58"/>
      <c r="L88" s="58"/>
      <c r="M88" s="58"/>
      <c r="N88" s="58"/>
    </row>
    <row r="89" ht="17.4" customHeight="1">
      <c r="A89" s="57"/>
      <c r="B89" s="58"/>
      <c r="C89" s="58"/>
      <c r="D89" s="58"/>
      <c r="E89" s="58"/>
      <c r="F89" s="58"/>
      <c r="G89" s="58"/>
      <c r="H89" s="58"/>
      <c r="I89" s="58"/>
      <c r="J89" s="57"/>
      <c r="K89" s="58"/>
      <c r="L89" s="58"/>
      <c r="M89" s="58"/>
      <c r="N89" s="58"/>
    </row>
    <row r="90" ht="17.4" customHeight="1">
      <c r="A90" s="57"/>
      <c r="B90" s="58"/>
      <c r="C90" s="58"/>
      <c r="D90" s="58"/>
      <c r="E90" s="58"/>
      <c r="F90" s="58"/>
      <c r="G90" s="58"/>
      <c r="H90" s="58"/>
      <c r="I90" s="58"/>
      <c r="J90" s="57"/>
      <c r="K90" s="58"/>
      <c r="L90" s="58"/>
      <c r="M90" s="58"/>
      <c r="N90" s="58"/>
    </row>
    <row r="91" ht="17.4" customHeight="1">
      <c r="A91" s="57"/>
      <c r="B91" s="58"/>
      <c r="C91" s="58"/>
      <c r="D91" s="58"/>
      <c r="E91" s="58"/>
      <c r="F91" s="58"/>
      <c r="G91" s="58"/>
      <c r="H91" s="58"/>
      <c r="I91" s="58"/>
      <c r="J91" s="57"/>
      <c r="K91" s="58"/>
      <c r="L91" s="58"/>
      <c r="M91" s="58"/>
      <c r="N91" s="58"/>
    </row>
    <row r="92" ht="17.4" customHeight="1">
      <c r="A92" s="57"/>
      <c r="B92" s="58"/>
      <c r="C92" s="58"/>
      <c r="D92" s="58"/>
      <c r="E92" s="58"/>
      <c r="F92" s="58"/>
      <c r="G92" s="58"/>
      <c r="H92" s="58"/>
      <c r="I92" s="58"/>
      <c r="J92" s="57"/>
      <c r="K92" s="58"/>
      <c r="L92" s="58"/>
      <c r="M92" s="58"/>
      <c r="N92" s="58"/>
    </row>
    <row r="93" ht="17.4" customHeight="1">
      <c r="A93" s="57"/>
      <c r="B93" s="58"/>
      <c r="C93" s="58"/>
      <c r="D93" s="58"/>
      <c r="E93" s="58"/>
      <c r="F93" s="58"/>
      <c r="G93" s="58"/>
      <c r="H93" s="58"/>
      <c r="I93" s="58"/>
      <c r="J93" s="57"/>
      <c r="K93" s="58"/>
      <c r="L93" s="58"/>
      <c r="M93" s="58"/>
      <c r="N93" s="58"/>
    </row>
    <row r="94" ht="17.4" customHeight="1">
      <c r="A94" s="57"/>
      <c r="B94" s="58"/>
      <c r="C94" s="58"/>
      <c r="D94" s="58"/>
      <c r="E94" s="58"/>
      <c r="F94" s="58"/>
      <c r="G94" s="58"/>
      <c r="H94" s="58"/>
      <c r="I94" s="58"/>
      <c r="J94" s="57"/>
      <c r="K94" s="58"/>
      <c r="L94" s="58"/>
      <c r="M94" s="58"/>
      <c r="N94" s="58"/>
    </row>
    <row r="95" ht="17.4" customHeight="1">
      <c r="A95" s="57"/>
      <c r="B95" s="58"/>
      <c r="C95" s="58"/>
      <c r="D95" s="58"/>
      <c r="E95" s="58"/>
      <c r="F95" s="58"/>
      <c r="G95" s="58"/>
      <c r="H95" s="58"/>
      <c r="I95" s="58"/>
      <c r="J95" s="57"/>
      <c r="K95" s="58"/>
      <c r="L95" s="58"/>
      <c r="M95" s="58"/>
      <c r="N95" s="58"/>
    </row>
    <row r="96" ht="17.4" customHeight="1">
      <c r="A96" s="57"/>
      <c r="B96" s="58"/>
      <c r="C96" s="58"/>
      <c r="D96" s="58"/>
      <c r="E96" s="58"/>
      <c r="F96" s="58"/>
      <c r="G96" s="58"/>
      <c r="H96" s="58"/>
      <c r="I96" s="58"/>
      <c r="J96" s="57"/>
      <c r="K96" s="58"/>
      <c r="L96" s="58"/>
      <c r="M96" s="58"/>
      <c r="N96" s="58"/>
    </row>
    <row r="97" ht="17.4" customHeight="1">
      <c r="A97" s="57"/>
      <c r="B97" s="58"/>
      <c r="C97" s="58"/>
      <c r="D97" s="58"/>
      <c r="E97" s="58"/>
      <c r="F97" s="58"/>
      <c r="G97" s="58"/>
      <c r="H97" s="58"/>
      <c r="I97" s="58"/>
      <c r="J97" s="57"/>
      <c r="K97" s="58"/>
      <c r="L97" s="58"/>
      <c r="M97" s="58"/>
      <c r="N97" s="58"/>
    </row>
    <row r="98" ht="17.4" customHeight="1">
      <c r="A98" s="57"/>
      <c r="B98" s="58"/>
      <c r="C98" s="58"/>
      <c r="D98" s="58"/>
      <c r="E98" s="58"/>
      <c r="F98" s="58"/>
      <c r="G98" s="58"/>
      <c r="H98" s="58"/>
      <c r="I98" s="58"/>
      <c r="J98" s="57"/>
      <c r="K98" s="58"/>
      <c r="L98" s="58"/>
      <c r="M98" s="58"/>
      <c r="N98" s="58"/>
    </row>
    <row r="99" ht="17.4" customHeight="1">
      <c r="A99" s="57"/>
      <c r="B99" s="58"/>
      <c r="C99" s="58"/>
      <c r="D99" s="58"/>
      <c r="E99" s="58"/>
      <c r="F99" s="58"/>
      <c r="G99" s="58"/>
      <c r="H99" s="58"/>
      <c r="I99" s="58"/>
      <c r="J99" s="57"/>
      <c r="K99" s="58"/>
      <c r="L99" s="58"/>
      <c r="M99" s="58"/>
      <c r="N99" s="58"/>
    </row>
    <row r="100" ht="17.4" customHeight="1">
      <c r="A100" s="57"/>
      <c r="B100" s="58"/>
      <c r="C100" s="58"/>
      <c r="D100" s="58"/>
      <c r="E100" s="58"/>
      <c r="F100" s="58"/>
      <c r="G100" s="58"/>
      <c r="H100" s="58"/>
      <c r="I100" s="58"/>
      <c r="J100" s="57"/>
      <c r="K100" s="58"/>
      <c r="L100" s="58"/>
      <c r="M100" s="58"/>
      <c r="N100" s="58"/>
    </row>
    <row r="101" ht="17.4" customHeight="1">
      <c r="A101" s="57"/>
      <c r="B101" s="58"/>
      <c r="C101" s="58"/>
      <c r="D101" s="58"/>
      <c r="E101" s="58"/>
      <c r="F101" s="58"/>
      <c r="G101" s="58"/>
      <c r="H101" s="58"/>
      <c r="I101" s="58"/>
      <c r="J101" s="57"/>
      <c r="K101" s="58"/>
      <c r="L101" s="58"/>
      <c r="M101" s="58"/>
      <c r="N101" s="58"/>
    </row>
    <row r="102" ht="17.4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7"/>
      <c r="K102" s="58"/>
      <c r="L102" s="58"/>
      <c r="M102" s="58"/>
      <c r="N102" s="58"/>
    </row>
    <row r="103" ht="17.4" customHeight="1">
      <c r="A103" s="57"/>
      <c r="B103" s="58"/>
      <c r="C103" s="58"/>
      <c r="D103" s="58"/>
      <c r="E103" s="58"/>
      <c r="F103" s="58"/>
      <c r="G103" s="58"/>
      <c r="H103" s="58"/>
      <c r="I103" s="58"/>
      <c r="J103" s="57"/>
      <c r="K103" s="58"/>
      <c r="L103" s="58"/>
      <c r="M103" s="58"/>
      <c r="N103" s="58"/>
    </row>
    <row r="104" ht="17.4" customHeight="1">
      <c r="A104" s="57"/>
      <c r="B104" s="58"/>
      <c r="C104" s="58"/>
      <c r="D104" s="58"/>
      <c r="E104" s="58"/>
      <c r="F104" s="58"/>
      <c r="G104" s="58"/>
      <c r="H104" s="58"/>
      <c r="I104" s="58"/>
      <c r="J104" s="57"/>
      <c r="K104" s="58"/>
      <c r="L104" s="58"/>
      <c r="M104" s="58"/>
      <c r="N104" s="58"/>
    </row>
    <row r="105" ht="17.4" customHeight="1">
      <c r="A105" s="57"/>
      <c r="B105" s="58"/>
      <c r="C105" s="58"/>
      <c r="D105" s="58"/>
      <c r="E105" s="58"/>
      <c r="F105" s="58"/>
      <c r="G105" s="58"/>
      <c r="H105" s="58"/>
      <c r="I105" s="58"/>
      <c r="J105" s="57"/>
      <c r="K105" s="58"/>
      <c r="L105" s="58"/>
      <c r="M105" s="58"/>
      <c r="N105" s="58"/>
    </row>
    <row r="106" ht="17.4" customHeight="1">
      <c r="A106" s="57"/>
      <c r="B106" s="58"/>
      <c r="C106" s="58"/>
      <c r="D106" s="58"/>
      <c r="E106" s="58"/>
      <c r="F106" s="58"/>
      <c r="G106" s="58"/>
      <c r="H106" s="58"/>
      <c r="I106" s="58"/>
      <c r="J106" s="57"/>
      <c r="K106" s="58"/>
      <c r="L106" s="58"/>
      <c r="M106" s="58"/>
      <c r="N106" s="58"/>
    </row>
    <row r="107" ht="17.4" customHeight="1">
      <c r="A107" s="57"/>
      <c r="B107" s="58"/>
      <c r="C107" s="58"/>
      <c r="D107" s="58"/>
      <c r="E107" s="58"/>
      <c r="F107" s="58"/>
      <c r="G107" s="58"/>
      <c r="H107" s="58"/>
      <c r="I107" s="58"/>
      <c r="J107" s="57"/>
      <c r="K107" s="58"/>
      <c r="L107" s="58"/>
      <c r="M107" s="58"/>
      <c r="N107" s="58"/>
    </row>
    <row r="108" ht="17.4" customHeight="1">
      <c r="A108" s="57"/>
      <c r="B108" s="58"/>
      <c r="C108" s="58"/>
      <c r="D108" s="58"/>
      <c r="E108" s="58"/>
      <c r="F108" s="58"/>
      <c r="G108" s="58"/>
      <c r="H108" s="58"/>
      <c r="I108" s="58"/>
      <c r="J108" s="57"/>
      <c r="K108" s="58"/>
      <c r="L108" s="58"/>
      <c r="M108" s="58"/>
      <c r="N108" s="58"/>
    </row>
    <row r="109" ht="17.4" customHeight="1">
      <c r="A109" s="57"/>
      <c r="B109" s="58"/>
      <c r="C109" s="58"/>
      <c r="D109" s="58"/>
      <c r="E109" s="58"/>
      <c r="F109" s="58"/>
      <c r="G109" s="58"/>
      <c r="H109" s="58"/>
      <c r="I109" s="58"/>
      <c r="J109" s="57"/>
      <c r="K109" s="58"/>
      <c r="L109" s="58"/>
      <c r="M109" s="58"/>
      <c r="N109" s="58"/>
    </row>
    <row r="110" ht="17.4" customHeight="1">
      <c r="A110" s="57"/>
      <c r="B110" s="58"/>
      <c r="C110" s="58"/>
      <c r="D110" s="58"/>
      <c r="E110" s="58"/>
      <c r="F110" s="58"/>
      <c r="G110" s="58"/>
      <c r="H110" s="58"/>
      <c r="I110" s="58"/>
      <c r="J110" s="57"/>
      <c r="K110" s="58"/>
      <c r="L110" s="58"/>
      <c r="M110" s="58"/>
      <c r="N110" s="58"/>
    </row>
    <row r="111" ht="17.4" customHeight="1">
      <c r="A111" s="57"/>
      <c r="B111" s="58"/>
      <c r="C111" s="58"/>
      <c r="D111" s="58"/>
      <c r="E111" s="58"/>
      <c r="F111" s="58"/>
      <c r="G111" s="58"/>
      <c r="H111" s="58"/>
      <c r="I111" s="58"/>
      <c r="J111" s="57"/>
      <c r="K111" s="58"/>
      <c r="L111" s="58"/>
      <c r="M111" s="58"/>
      <c r="N111" s="58"/>
    </row>
    <row r="112" ht="17.4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7"/>
      <c r="K112" s="58"/>
      <c r="L112" s="58"/>
      <c r="M112" s="58"/>
      <c r="N112" s="58"/>
    </row>
    <row r="113" ht="17.4" customHeight="1">
      <c r="A113" s="57"/>
      <c r="B113" s="58"/>
      <c r="C113" s="58"/>
      <c r="D113" s="58"/>
      <c r="E113" s="58"/>
      <c r="F113" s="58"/>
      <c r="G113" s="58"/>
      <c r="H113" s="58"/>
      <c r="I113" s="58"/>
      <c r="J113" s="57"/>
      <c r="K113" s="58"/>
      <c r="L113" s="58"/>
      <c r="M113" s="58"/>
      <c r="N113" s="58"/>
    </row>
    <row r="114" ht="17.4" customHeight="1">
      <c r="A114" s="57"/>
      <c r="B114" s="58"/>
      <c r="C114" s="58"/>
      <c r="D114" s="58"/>
      <c r="E114" s="58"/>
      <c r="F114" s="58"/>
      <c r="G114" s="58"/>
      <c r="H114" s="58"/>
      <c r="I114" s="58"/>
      <c r="J114" s="57"/>
      <c r="K114" s="58"/>
      <c r="L114" s="58"/>
      <c r="M114" s="58"/>
      <c r="N114" s="58"/>
    </row>
    <row r="115" ht="17.4" customHeight="1">
      <c r="A115" s="57"/>
      <c r="B115" s="58"/>
      <c r="C115" s="58"/>
      <c r="D115" s="58"/>
      <c r="E115" s="58"/>
      <c r="F115" s="58"/>
      <c r="G115" s="58"/>
      <c r="H115" s="58"/>
      <c r="I115" s="58"/>
      <c r="J115" s="57"/>
      <c r="K115" s="58"/>
      <c r="L115" s="58"/>
      <c r="M115" s="58"/>
      <c r="N115" s="58"/>
    </row>
    <row r="116" ht="17.4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7"/>
      <c r="K116" s="58"/>
      <c r="L116" s="58"/>
      <c r="M116" s="58"/>
      <c r="N116" s="58"/>
    </row>
    <row r="117" ht="17.4" customHeight="1">
      <c r="A117" s="57"/>
      <c r="B117" s="58"/>
      <c r="C117" s="58"/>
      <c r="D117" s="58"/>
      <c r="E117" s="58"/>
      <c r="F117" s="58"/>
      <c r="G117" s="58"/>
      <c r="H117" s="58"/>
      <c r="I117" s="58"/>
      <c r="J117" s="57"/>
      <c r="K117" s="58"/>
      <c r="L117" s="58"/>
      <c r="M117" s="58"/>
      <c r="N117" s="58"/>
    </row>
    <row r="118" ht="17.4" customHeight="1">
      <c r="A118" s="57"/>
      <c r="B118" s="58"/>
      <c r="C118" s="58"/>
      <c r="D118" s="58"/>
      <c r="E118" s="58"/>
      <c r="F118" s="58"/>
      <c r="G118" s="58"/>
      <c r="H118" s="58"/>
      <c r="I118" s="58"/>
      <c r="J118" s="57"/>
      <c r="K118" s="58"/>
      <c r="L118" s="58"/>
      <c r="M118" s="58"/>
      <c r="N118" s="58"/>
    </row>
    <row r="119" ht="17.4" customHeight="1">
      <c r="A119" s="57"/>
      <c r="B119" s="58"/>
      <c r="C119" s="58"/>
      <c r="D119" s="58"/>
      <c r="E119" s="58"/>
      <c r="F119" s="58"/>
      <c r="G119" s="58"/>
      <c r="H119" s="58"/>
      <c r="I119" s="58"/>
      <c r="J119" s="57"/>
      <c r="K119" s="58"/>
      <c r="L119" s="58"/>
      <c r="M119" s="58"/>
      <c r="N119" s="58"/>
    </row>
    <row r="120" ht="17.4" customHeight="1">
      <c r="A120" s="57"/>
      <c r="B120" s="58"/>
      <c r="C120" s="58"/>
      <c r="D120" s="58"/>
      <c r="E120" s="58"/>
      <c r="F120" s="58"/>
      <c r="G120" s="58"/>
      <c r="H120" s="58"/>
      <c r="I120" s="58"/>
      <c r="J120" s="57"/>
      <c r="K120" s="58"/>
      <c r="L120" s="58"/>
      <c r="M120" s="58"/>
      <c r="N120" s="58"/>
    </row>
    <row r="121" ht="17.4" customHeight="1">
      <c r="A121" s="57"/>
      <c r="B121" s="58"/>
      <c r="C121" s="58"/>
      <c r="D121" s="58"/>
      <c r="E121" s="58"/>
      <c r="F121" s="58"/>
      <c r="G121" s="58"/>
      <c r="H121" s="58"/>
      <c r="I121" s="58"/>
      <c r="J121" s="57"/>
      <c r="K121" s="58"/>
      <c r="L121" s="58"/>
      <c r="M121" s="58"/>
      <c r="N121" s="58"/>
    </row>
    <row r="122" ht="17.4" customHeight="1">
      <c r="A122" s="57"/>
      <c r="B122" s="58"/>
      <c r="C122" s="58"/>
      <c r="D122" s="58"/>
      <c r="E122" s="58"/>
      <c r="F122" s="58"/>
      <c r="G122" s="58"/>
      <c r="H122" s="58"/>
      <c r="I122" s="58"/>
      <c r="J122" s="57"/>
      <c r="K122" s="58"/>
      <c r="L122" s="58"/>
      <c r="M122" s="58"/>
      <c r="N122" s="58"/>
    </row>
    <row r="123" ht="19.8" customHeight="1">
      <c r="A123" s="57"/>
      <c r="B123" s="58"/>
      <c r="C123" s="58"/>
      <c r="D123" s="58"/>
      <c r="E123" s="149"/>
      <c r="F123" s="58"/>
      <c r="G123" s="58"/>
      <c r="H123" s="58"/>
      <c r="I123" s="58"/>
      <c r="J123" s="57"/>
      <c r="K123" s="58"/>
      <c r="L123" s="58"/>
      <c r="M123" s="58"/>
      <c r="N123" s="58"/>
    </row>
  </sheetData>
  <mergeCells count="3">
    <mergeCell ref="A9:A12"/>
    <mergeCell ref="A13:A16"/>
    <mergeCell ref="A17:A20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O18"/>
  <sheetViews>
    <sheetView workbookViewId="0" showGridLines="0" defaultGridColor="1"/>
  </sheetViews>
  <sheetFormatPr defaultColWidth="8.66667" defaultRowHeight="17.4" customHeight="1" outlineLevelRow="0" outlineLevelCol="0"/>
  <cols>
    <col min="1" max="1" width="8.67188" style="157" customWidth="1"/>
    <col min="2" max="2" width="26.8516" style="157" customWidth="1"/>
    <col min="3" max="4" width="18.5" style="157" customWidth="1"/>
    <col min="5" max="5" width="18" style="157" customWidth="1"/>
    <col min="6" max="6" width="17.5" style="157" customWidth="1"/>
    <col min="7" max="15" width="8.67188" style="157" customWidth="1"/>
    <col min="16" max="16384" width="8.67188" style="157" customWidth="1"/>
  </cols>
  <sheetData>
    <row r="1" ht="17.4" customHeight="1">
      <c r="A1" s="58"/>
      <c r="B1" s="158"/>
      <c r="C1" s="60"/>
      <c r="D1" s="60"/>
      <c r="E1" s="60"/>
      <c r="F1" s="60"/>
      <c r="G1" s="58"/>
      <c r="H1" s="58"/>
      <c r="I1" s="58"/>
      <c r="J1" s="58"/>
      <c r="K1" s="58"/>
      <c r="L1" s="58"/>
      <c r="M1" s="58"/>
      <c r="N1" s="58"/>
      <c r="O1" s="58"/>
    </row>
    <row r="2" ht="17.4" customHeight="1">
      <c r="A2" s="159"/>
      <c r="B2" t="s" s="160">
        <v>71</v>
      </c>
      <c r="C2" t="s" s="161">
        <v>72</v>
      </c>
      <c r="D2" t="s" s="161">
        <v>73</v>
      </c>
      <c r="E2" t="s" s="161">
        <v>74</v>
      </c>
      <c r="F2" t="s" s="161">
        <v>47</v>
      </c>
      <c r="G2" s="74"/>
      <c r="H2" s="58"/>
      <c r="I2" s="58"/>
      <c r="J2" s="58"/>
      <c r="K2" s="58"/>
      <c r="L2" s="58"/>
      <c r="M2" s="58"/>
      <c r="N2" s="58"/>
      <c r="O2" s="58"/>
    </row>
    <row r="3" ht="17.4" customHeight="1">
      <c r="A3" s="31"/>
      <c r="B3" t="s" s="162">
        <v>75</v>
      </c>
      <c r="C3" s="163" cm="1">
        <f t="array" ref="C3">'Weibull(Planning &amp; Schedule)'!J11</f>
        <v>0.838138138415262</v>
      </c>
      <c r="D3" s="163" cm="1">
        <f t="array" ref="D3">'Risk Assesment(Planning&amp;schedu)'!K15</f>
        <v>0.0337837837837838</v>
      </c>
      <c r="E3" s="164" cm="1">
        <f t="array" ref="E3">C3*D3</f>
        <v>0.0283154776491643</v>
      </c>
      <c r="F3" s="165" cm="1">
        <f t="array" ref="F3">RANK(E3,$E$3:$E$7,1)</f>
        <v>3</v>
      </c>
      <c r="G3" s="74"/>
      <c r="H3" s="58"/>
      <c r="I3" s="58"/>
      <c r="J3" s="58"/>
      <c r="K3" s="58"/>
      <c r="L3" s="58"/>
      <c r="M3" s="58"/>
      <c r="N3" s="58"/>
      <c r="O3" s="58"/>
    </row>
    <row r="4" ht="17.4" customHeight="1">
      <c r="A4" s="31"/>
      <c r="B4" t="s" s="162">
        <v>76</v>
      </c>
      <c r="C4" s="163" cm="1">
        <f t="array" ref="C4">'Weibull(Cost Control)'!J11</f>
        <v>0.80100180498225</v>
      </c>
      <c r="D4" s="163" cm="1">
        <f t="array" ref="D4">'Risk Assesment(Cost Control)'!K15</f>
        <v>0.0228937728937729</v>
      </c>
      <c r="E4" s="164" cm="1">
        <f t="array" ref="E4">C4*D4</f>
        <v>0.0183379534107658</v>
      </c>
      <c r="F4" s="165" cm="1">
        <f t="array" ref="F4">RANK(E4,$E$3:$E$7,1)</f>
        <v>2</v>
      </c>
      <c r="G4" s="74"/>
      <c r="H4" s="58"/>
      <c r="I4" s="58"/>
      <c r="J4" s="58"/>
      <c r="K4" s="58"/>
      <c r="L4" s="58"/>
      <c r="M4" s="58"/>
      <c r="N4" s="58"/>
      <c r="O4" s="58"/>
    </row>
    <row r="5" ht="17.4" customHeight="1">
      <c r="A5" s="31"/>
      <c r="B5" t="s" s="162">
        <v>77</v>
      </c>
      <c r="C5" s="163" cm="1">
        <f t="array" ref="C5">'Weibull(Excavation)'!J11</f>
        <v>0.906136658354373</v>
      </c>
      <c r="D5" s="163" cm="1">
        <f t="array" ref="D5">'Risk Assesment(Excavation)'!K15</f>
        <v>0.0318016614745586</v>
      </c>
      <c r="E5" s="164" cm="1">
        <f t="array" ref="E5">C5*D5</f>
        <v>0.0288166512586735</v>
      </c>
      <c r="F5" s="165" cm="1">
        <f t="array" ref="F5">RANK(E5,$E$3:$E$7,1)</f>
        <v>4</v>
      </c>
      <c r="G5" s="74"/>
      <c r="H5" s="58"/>
      <c r="I5" s="58"/>
      <c r="J5" s="58"/>
      <c r="K5" s="58"/>
      <c r="L5" s="58"/>
      <c r="M5" s="58"/>
      <c r="N5" s="58"/>
      <c r="O5" s="58"/>
    </row>
    <row r="6" ht="17.4" customHeight="1">
      <c r="A6" s="31"/>
      <c r="B6" t="s" s="162">
        <v>78</v>
      </c>
      <c r="C6" s="163" cm="1">
        <f t="array" ref="C6">'Weibull(Concrete works)'!J11</f>
        <v>0.48610038187219</v>
      </c>
      <c r="D6" s="163" cm="1">
        <f t="array" ref="D6">'Risk Assesment(Concrete Works)'!K15</f>
        <v>0.0252677376171352</v>
      </c>
      <c r="E6" s="164" cm="1">
        <f t="array" ref="E6">C6*D6</f>
        <v>0.0122826569047357</v>
      </c>
      <c r="F6" s="165" cm="1">
        <f t="array" ref="F6">RANK(E6,$E$3:$E$7,1)</f>
        <v>1</v>
      </c>
      <c r="G6" s="74"/>
      <c r="H6" s="58"/>
      <c r="I6" s="58"/>
      <c r="J6" s="58"/>
      <c r="K6" s="58"/>
      <c r="L6" s="58"/>
      <c r="M6" s="58"/>
      <c r="N6" s="58"/>
      <c r="O6" s="58"/>
    </row>
    <row r="7" ht="17.4" customHeight="1">
      <c r="A7" s="58"/>
      <c r="B7" s="51"/>
      <c r="C7" s="51"/>
      <c r="D7" s="51"/>
      <c r="E7" s="51"/>
      <c r="F7" s="51"/>
      <c r="G7" s="58"/>
      <c r="H7" s="58"/>
      <c r="I7" s="58"/>
      <c r="J7" s="58"/>
      <c r="K7" s="58"/>
      <c r="L7" s="58"/>
      <c r="M7" s="58"/>
      <c r="N7" s="58"/>
      <c r="O7" s="58"/>
    </row>
    <row r="8" ht="17.4" customHeight="1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</row>
    <row r="9" ht="17.4" customHeight="1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</row>
    <row r="10" ht="17.4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</row>
    <row r="11" ht="17.4" customHeight="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</row>
    <row r="12" ht="17.4" customHeight="1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</row>
    <row r="13" ht="17.4" customHeight="1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</row>
    <row r="14" ht="17.4" customHeight="1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</row>
    <row r="15" ht="17.4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</row>
    <row r="16" ht="17.4" customHeight="1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</row>
    <row r="17" ht="17.4" customHeigh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</row>
    <row r="18" ht="17.4" customHeigh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